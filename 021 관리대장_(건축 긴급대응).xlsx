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03 금일작업\00 대기중\01 일성\솔루션\"/>
    </mc:Choice>
  </mc:AlternateContent>
  <xr:revisionPtr revIDLastSave="0" documentId="13_ncr:1_{E594C640-BE2F-4ADA-BB59-0C4E41CFE875}" xr6:coauthVersionLast="47" xr6:coauthVersionMax="47" xr10:uidLastSave="{00000000-0000-0000-0000-000000000000}"/>
  <bookViews>
    <workbookView xWindow="-120" yWindow="-120" windowWidth="29040" windowHeight="15720" xr2:uid="{8EC9B83C-839A-439E-936A-2D1E50A0B019}"/>
  </bookViews>
  <sheets>
    <sheet name="26년" sheetId="6" r:id="rId1"/>
    <sheet name="25년" sheetId="5" r:id="rId2"/>
    <sheet name="24년" sheetId="4"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 localSheetId="2" hidden="1">#REF!</definedName>
    <definedName name="_" hidden="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Dist_Bin" hidden="1">#REF!</definedName>
    <definedName name="_Dist_Values" hidden="1">#REF!</definedName>
    <definedName name="_Fill" localSheetId="2" hidden="1">[1]암거날개벽!#REF!</definedName>
    <definedName name="_Fill" hidden="1">[1]암거날개벽!#REF!</definedName>
    <definedName name="_xlnm._FilterDatabase" localSheetId="2" hidden="1">'24년'!$A$5:$AM$113</definedName>
    <definedName name="_xlnm._FilterDatabase" hidden="1">[2]실행내역!#REF!</definedName>
    <definedName name="_Key1" localSheetId="2" hidden="1">[3]내역서!#REF!</definedName>
    <definedName name="_Key1" hidden="1">[3]내역서!#REF!</definedName>
    <definedName name="_Key2" localSheetId="2" hidden="1">[4]프랜트면허!#REF!</definedName>
    <definedName name="_Key2" hidden="1">#REF!</definedName>
    <definedName name="_Order1" hidden="1">255</definedName>
    <definedName name="_Order2" hidden="1">255</definedName>
    <definedName name="_Parse_Out" localSheetId="2" hidden="1">#REF!</definedName>
    <definedName name="_Parse_Out" hidden="1">#REF!</definedName>
    <definedName name="_Regression_Int" hidden="1">1</definedName>
    <definedName name="_Sort" localSheetId="2" hidden="1">[3]내역서!#REF!</definedName>
    <definedName name="_Sort" hidden="1">[3]내역서!#REF!</definedName>
    <definedName name="a\" localSheetId="2" hidden="1">{#N/A,#N/A,TRUE,"자재관리";#N/A,#N/A,TRUE,"품질"}</definedName>
    <definedName name="a\" localSheetId="1" hidden="1">{#N/A,#N/A,TRUE,"자재관리";#N/A,#N/A,TRUE,"품질"}</definedName>
    <definedName name="a\" localSheetId="0" hidden="1">{#N/A,#N/A,TRUE,"자재관리";#N/A,#N/A,TRUE,"품질"}</definedName>
    <definedName name="a\" hidden="1">{#N/A,#N/A,TRUE,"자재관리";#N/A,#N/A,TRUE,"품질"}</definedName>
    <definedName name="A1C1" localSheetId="2" hidden="1">#REF!</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localSheetId="1" hidden="1">{#N/A,#N/A,FALSE,"CCTV"}</definedName>
    <definedName name="asdfasdf" localSheetId="0"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localSheetId="1" hidden="1">{"'Sheet1'!$E$23","'Sheet1'!$A$3:$H$19","'Sheet1'!$A$1:$H$19"}</definedName>
    <definedName name="BUSH" localSheetId="0" hidden="1">{"'Sheet1'!$E$23","'Sheet1'!$A$3:$H$19","'Sheet1'!$A$1:$H$19"}</definedName>
    <definedName name="BUSH" hidden="1">{"'Sheet1'!$E$23","'Sheet1'!$A$3:$H$19","'Sheet1'!$A$1:$H$19"}</definedName>
    <definedName name="copy2" localSheetId="2" hidden="1">{#N/A,#N/A,TRUE,"자재관리";#N/A,#N/A,TRUE,"품질"}</definedName>
    <definedName name="copy2" localSheetId="1" hidden="1">{#N/A,#N/A,TRUE,"자재관리";#N/A,#N/A,TRUE,"품질"}</definedName>
    <definedName name="copy2" localSheetId="0" hidden="1">{#N/A,#N/A,TRUE,"자재관리";#N/A,#N/A,TRUE,"품질"}</definedName>
    <definedName name="copy2" hidden="1">{#N/A,#N/A,TRUE,"자재관리";#N/A,#N/A,TRUE,"품질"}</definedName>
    <definedName name="copy3" localSheetId="2" hidden="1">{#N/A,#N/A,TRUE,"자재관리";#N/A,#N/A,TRUE,"품질"}</definedName>
    <definedName name="copy3" localSheetId="1" hidden="1">{#N/A,#N/A,TRUE,"자재관리";#N/A,#N/A,TRUE,"품질"}</definedName>
    <definedName name="copy3" localSheetId="0" hidden="1">{#N/A,#N/A,TRUE,"자재관리";#N/A,#N/A,TRUE,"품질"}</definedName>
    <definedName name="copy3" hidden="1">{#N/A,#N/A,TRUE,"자재관리";#N/A,#N/A,TRUE,"품질"}</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0"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localSheetId="1" hidden="1">{#N/A,#N/A,FALSE,"자재관리";#N/A,#N/A,FALSE,"자재관리";#N/A,#N/A,FALSE,"자재관리"}</definedName>
    <definedName name="D" localSheetId="0" hidden="1">{#N/A,#N/A,FALSE,"자재관리";#N/A,#N/A,FALSE,"자재관리";#N/A,#N/A,FALSE,"자재관리"}</definedName>
    <definedName name="D" hidden="1">{#N/A,#N/A,FALSE,"자재관리";#N/A,#N/A,FALSE,"자재관리";#N/A,#N/A,FALSE,"자재관리"}</definedName>
    <definedName name="DDAFASDFSD" hidden="1">{#N/A,#N/A,FALSE,"Sheet1"}</definedName>
    <definedName name="DDD" localSheetId="2" hidden="1">#REF!</definedName>
    <definedName name="DDD" hidden="1">#REF!</definedName>
    <definedName name="ddddd" localSheetId="2"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localSheetId="1" hidden="1">{#N/A,#N/A,FALSE,"자재관리";#N/A,#N/A,FALSE,"자재관리";#N/A,#N/A,FALSE,"자재관리"}</definedName>
    <definedName name="DFV" localSheetId="0"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hidden="1">{#N/A,#N/A,FALSE,"Sheet1"}</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localSheetId="1" hidden="1">{#N/A,#N/A,FALSE,"자재관리";#N/A,#N/A,FALSE,"자재관리";#N/A,#N/A,FALSE,"자재관리"}</definedName>
    <definedName name="dkd" localSheetId="0"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localSheetId="1" hidden="1">{#N/A,#N/A,FALSE,"전력간선"}</definedName>
    <definedName name="DKFDK" localSheetId="0" hidden="1">{#N/A,#N/A,FALSE,"전력간선"}</definedName>
    <definedName name="DKFDK" hidden="1">{#N/A,#N/A,FALSE,"전력간선"}</definedName>
    <definedName name="dkkjkjkjk" hidden="1">{#N/A,#N/A,FALSE,"Sheet1"}</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localSheetId="1" hidden="1">{#N/A,#N/A,FALSE,"CCTV"}</definedName>
    <definedName name="FFF" localSheetId="0" hidden="1">{#N/A,#N/A,FALSE,"CCTV"}</definedName>
    <definedName name="FFF" hidden="1">{#N/A,#N/A,FALSE,"CCTV"}</definedName>
    <definedName name="FFFF" localSheetId="2" hidden="1">{#N/A,#N/A,FALSE,"자재관리";#N/A,#N/A,FALSE,"자재관리";#N/A,#N/A,FALSE,"자재관리"}</definedName>
    <definedName name="FFFF" localSheetId="1" hidden="1">{#N/A,#N/A,FALSE,"자재관리";#N/A,#N/A,FALSE,"자재관리";#N/A,#N/A,FALSE,"자재관리"}</definedName>
    <definedName name="FFFF" localSheetId="0"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localSheetId="1" hidden="1">{#N/A,#N/A,FALSE,"전력간선"}</definedName>
    <definedName name="fg" localSheetId="0"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localSheetId="2" hidden="1">[5]수량산출!$A$1:$A$8561</definedName>
    <definedName name="FHFH" hidden="1">[6]수량산출!$A$1:$A$8561</definedName>
    <definedName name="FHFK" localSheetId="2" hidden="1">[5]수량산출!#REF!</definedName>
    <definedName name="FHFK" hidden="1">[6]수량산출!#REF!</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[7]차액보증!#REF!</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2" hidden="1">#REF!</definedName>
    <definedName name="HHHH" hidden="1">#REF!</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0"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localSheetId="1" hidden="1">{"'Sheet1'!$E$23","'Sheet1'!$A$3:$H$19","'Sheet1'!$A$1:$H$19"}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localSheetId="1" hidden="1">{#N/A,#N/A,FALSE,"자재관리";#N/A,#N/A,FALSE,"자재관리";#N/A,#N/A,FALSE,"자재관리"}</definedName>
    <definedName name="JJJJ" localSheetId="0"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localSheetId="1" hidden="1">{#N/A,#N/A,FALSE,"자재관리";#N/A,#N/A,FALSE,"자재관리";#N/A,#N/A,FALSE,"자재관리"}</definedName>
    <definedName name="K" localSheetId="0"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2" hidden="1">#REF!</definedName>
    <definedName name="KKK" hidden="1">#REF!</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0"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0"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localSheetId="1" hidden="1">{#N/A,#N/A,TRUE,"자재관리";#N/A,#N/A,TRUE,"품질"}</definedName>
    <definedName name="L" localSheetId="0"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2" hidden="1">#REF!</definedName>
    <definedName name="lll" hidden="1">#REF!</definedName>
    <definedName name="m" hidden="1">#REF!</definedName>
    <definedName name="MC" localSheetId="2" hidden="1">{#N/A,#N/A,FALSE,"자재관리";#N/A,#N/A,FALSE,"자재관리";#N/A,#N/A,FALSE,"자재관리"}</definedName>
    <definedName name="MC" localSheetId="1" hidden="1">{#N/A,#N/A,FALSE,"자재관리";#N/A,#N/A,FALSE,"자재관리";#N/A,#N/A,FALSE,"자재관리"}</definedName>
    <definedName name="MC" localSheetId="0"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0"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localSheetId="1" hidden="1">{#N/A,#N/A,FALSE,"CCTV"}</definedName>
    <definedName name="NEWNAME" localSheetId="0"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localSheetId="2" hidden="1">#REF!</definedName>
    <definedName name="OOO" hidden="1">#REF!</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0"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localSheetId="1" hidden="1">{"'Sheet1'!$E$23","'Sheet1'!$A$3:$H$19","'Sheet1'!$A$1:$H$19"}</definedName>
    <definedName name="PRESS" localSheetId="0" hidden="1">{"'Sheet1'!$E$23","'Sheet1'!$A$3:$H$19","'Sheet1'!$A$1:$H$19"}</definedName>
    <definedName name="PRESS" hidden="1">{"'Sheet1'!$E$23","'Sheet1'!$A$3:$H$19","'Sheet1'!$A$1:$H$19"}</definedName>
    <definedName name="press1" localSheetId="2" hidden="1">{"'Sheet1'!$E$23","'Sheet1'!$A$3:$H$19","'Sheet1'!$A$1:$H$19"}</definedName>
    <definedName name="press1" localSheetId="1" hidden="1">{"'Sheet1'!$E$23","'Sheet1'!$A$3:$H$19","'Sheet1'!$A$1:$H$19"}</definedName>
    <definedName name="press1" localSheetId="0" hidden="1">{"'Sheet1'!$E$23","'Sheet1'!$A$3:$H$19","'Sheet1'!$A$1:$H$19"}</definedName>
    <definedName name="press1" hidden="1">{"'Sheet1'!$E$23","'Sheet1'!$A$3:$H$19","'Sheet1'!$A$1:$H$19"}</definedName>
    <definedName name="_xlnm.Print_Area" localSheetId="2">'24년'!$B$1:$AM$113</definedName>
    <definedName name="_xlnm.Print_Area" localSheetId="1">'25년'!$B$1:$W$91</definedName>
    <definedName name="_xlnm.Print_Area" localSheetId="0">'26년'!$B$1:$W$87</definedName>
    <definedName name="_xlnm.Print_Area">#REF!</definedName>
    <definedName name="_xlnm.Print_Titles">#REF!,#REF!</definedName>
    <definedName name="Q" localSheetId="2" hidden="1">{#N/A,#N/A,FALSE,"자재관리";#N/A,#N/A,FALSE,"자재관리";#N/A,#N/A,FALSE,"자재관리"}</definedName>
    <definedName name="Q" localSheetId="1" hidden="1">{#N/A,#N/A,FALSE,"자재관리";#N/A,#N/A,FALSE,"자재관리";#N/A,#N/A,FALSE,"자재관리"}</definedName>
    <definedName name="Q" localSheetId="0" hidden="1">{#N/A,#N/A,FALSE,"자재관리";#N/A,#N/A,FALSE,"자재관리";#N/A,#N/A,FALSE,"자재관리"}</definedName>
    <definedName name="Q" hidden="1">{#N/A,#N/A,FALSE,"자재관리";#N/A,#N/A,FALSE,"자재관리";#N/A,#N/A,FALSE,"자재관리"}</definedName>
    <definedName name="qq" hidden="1">{#N/A,#N/A,FALSE,"단가표지"}</definedName>
    <definedName name="qqq" localSheetId="2" hidden="1">{#N/A,#N/A,FALSE,"전력간선"}</definedName>
    <definedName name="qqq" localSheetId="1" hidden="1">{#N/A,#N/A,FALSE,"전력간선"}</definedName>
    <definedName name="qqq" localSheetId="0" hidden="1">{#N/A,#N/A,FALSE,"전력간선"}</definedName>
    <definedName name="qqq" hidden="1">{#N/A,#N/A,FALSE,"전력간선"}</definedName>
    <definedName name="QQQW" localSheetId="2" hidden="1">{#N/A,#N/A,FALSE,"전력간선"}</definedName>
    <definedName name="QQQW" localSheetId="1" hidden="1">{#N/A,#N/A,FALSE,"전력간선"}</definedName>
    <definedName name="QQQW" localSheetId="0" hidden="1">{#N/A,#N/A,FALSE,"전력간선"}</definedName>
    <definedName name="QQQW" hidden="1">{#N/A,#N/A,FALSE,"전력간선"}</definedName>
    <definedName name="qw" hidden="1">{#N/A,#N/A,FALSE,"단가표지"}</definedName>
    <definedName name="QWERRTT" hidden="1">{#N/A,#N/A,FALSE,"Sheet1"}</definedName>
    <definedName name="ret" localSheetId="2" hidden="1">{#N/A,#N/A,FALSE,"전력간선"}</definedName>
    <definedName name="ret" localSheetId="1" hidden="1">{#N/A,#N/A,FALSE,"전력간선"}</definedName>
    <definedName name="ret" localSheetId="0"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localSheetId="1" hidden="1">{#N/A,#N/A,FALSE,"전력간선"}</definedName>
    <definedName name="RIRI" localSheetId="0" hidden="1">{#N/A,#N/A,FALSE,"전력간선"}</definedName>
    <definedName name="RIRI" hidden="1">{#N/A,#N/A,FALSE,"전력간선"}</definedName>
    <definedName name="RK" localSheetId="2" hidden="1">[5]수량산출!#REF!</definedName>
    <definedName name="RK" hidden="1">[6]수량산출!#REF!</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localSheetId="1" hidden="1">{#N/A,#N/A,FALSE,"전력간선"}</definedName>
    <definedName name="rr" localSheetId="0"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localSheetId="1" hidden="1">{#N/A,#N/A,TRUE,"자재관리";#N/A,#N/A,TRUE,"품질"}</definedName>
    <definedName name="rthyetyuety" localSheetId="0" hidden="1">{#N/A,#N/A,TRUE,"자재관리";#N/A,#N/A,TRUE,"품질"}</definedName>
    <definedName name="rthyetyuety" hidden="1">{#N/A,#N/A,TRUE,"자재관리";#N/A,#N/A,TRUE,"품질"}</definedName>
    <definedName name="SD" localSheetId="2" hidden="1">{#N/A,#N/A,FALSE,"자재관리";#N/A,#N/A,FALSE,"자재관리";#N/A,#N/A,FALSE,"자재관리"}</definedName>
    <definedName name="SD" localSheetId="1" hidden="1">{#N/A,#N/A,FALSE,"자재관리";#N/A,#N/A,FALSE,"자재관리";#N/A,#N/A,FALSE,"자재관리"}</definedName>
    <definedName name="SD" localSheetId="0"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localSheetId="2" hidden="1">#REF!</definedName>
    <definedName name="SORT" hidden="1">#REF!</definedName>
    <definedName name="SORT1" hidden="1">#REF!</definedName>
    <definedName name="sss" localSheetId="2" hidden="1">{#N/A,#N/A,FALSE,"전력간선"}</definedName>
    <definedName name="sss" localSheetId="1" hidden="1">{#N/A,#N/A,FALSE,"전력간선"}</definedName>
    <definedName name="sss" localSheetId="0"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localSheetId="1" hidden="1">{#N/A,#N/A,TRUE,"자재관리";#N/A,#N/A,TRUE,"품질"}</definedName>
    <definedName name="t" localSheetId="0" hidden="1">{#N/A,#N/A,TRUE,"자재관리";#N/A,#N/A,TRUE,"품질"}</definedName>
    <definedName name="t" hidden="1">{#N/A,#N/A,TRUE,"자재관리";#N/A,#N/A,TRUE,"품질"}</definedName>
    <definedName name="tka" localSheetId="2" hidden="1">{#N/A,#N/A,FALSE,"전력간선"}</definedName>
    <definedName name="tka" localSheetId="1" hidden="1">{#N/A,#N/A,FALSE,"전력간선"}</definedName>
    <definedName name="tka" localSheetId="0" hidden="1">{#N/A,#N/A,FALSE,"전력간선"}</definedName>
    <definedName name="tka" hidden="1">{#N/A,#N/A,FALSE,"전력간선"}</definedName>
    <definedName name="TTTT" localSheetId="2" hidden="1">#REF!</definedName>
    <definedName name="TTTT" hidden="1">#REF!</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0"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localSheetId="1" hidden="1">{#N/A,#N/A,FALSE,"CCTV"}</definedName>
    <definedName name="WJDEHDRHS" localSheetId="0" hidden="1">{#N/A,#N/A,FALSE,"CCTV"}</definedName>
    <definedName name="WJDEHDRHS" hidden="1">{#N/A,#N/A,FALSE,"CCTV"}</definedName>
    <definedName name="wm.조골재1" hidden="1">{#N/A,#N/A,FALSE,"조골재"}</definedName>
    <definedName name="WQR" hidden="1">{#N/A,#N/A,FALSE,"Sheet1"}</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localSheetId="1" hidden="1">{#N/A,#N/A,FALSE,"CCTV"}</definedName>
    <definedName name="WRITE" localSheetId="0"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localSheetId="1" hidden="1">{#N/A,#N/A,TRUE,"천상그린44PY"}</definedName>
    <definedName name="wrn.abc." localSheetId="0"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localSheetId="1" hidden="1">{#N/A,#N/A,FALSE,"CCTV"}</definedName>
    <definedName name="wrn.BM." localSheetId="0"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localSheetId="1" hidden="1">{#N/A,#N/A,FALSE,"전력간선"}</definedName>
    <definedName name="wrn.교육청." localSheetId="0" hidden="1">{#N/A,#N/A,FALSE,"전력간선"}</definedName>
    <definedName name="wrn.교육청." hidden="1">{#N/A,#N/A,FALSE,"전력간선"}</definedName>
    <definedName name="wrn.구조2." hidden="1">{#N/A,#N/A,FALSE,"구조2"}</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localSheetId="2" hidden="1">{#N/A,#N/A,TRUE,"자재관리";#N/A,#N/A,TRUE,"품질"}</definedName>
    <definedName name="wrn.보고서." localSheetId="1" hidden="1">{#N/A,#N/A,TRUE,"자재관리";#N/A,#N/A,TRUE,"품질"}</definedName>
    <definedName name="wrn.보고서." localSheetId="0"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일위대가." localSheetId="2" hidden="1">{#N/A,#N/A,TRUE,"대가1"}</definedName>
    <definedName name="wrn.일위대가." localSheetId="1" hidden="1">{#N/A,#N/A,TRUE,"대가1"}</definedName>
    <definedName name="wrn.일위대가." localSheetId="0" hidden="1">{#N/A,#N/A,TRUE,"대가1"}</definedName>
    <definedName name="wrn.일위대가." hidden="1">{#N/A,#N/A,TRUE,"대가1"}</definedName>
    <definedName name="wrn.조골재." hidden="1">{#N/A,#N/A,FALSE,"조골재"}</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localSheetId="1" hidden="1">{#N/A,#N/A,TRUE,"자재관리";#N/A,#N/A,TRUE,"품질"}</definedName>
    <definedName name="X" localSheetId="0" hidden="1">{#N/A,#N/A,TRUE,"자재관리";#N/A,#N/A,TRUE,"품질"}</definedName>
    <definedName name="X" hidden="1">{#N/A,#N/A,TRUE,"자재관리";#N/A,#N/A,TRUE,"품질"}</definedName>
    <definedName name="yy" localSheetId="2" hidden="1">{#N/A,#N/A,FALSE,"전력간선"}</definedName>
    <definedName name="yy" localSheetId="1" hidden="1">{#N/A,#N/A,FALSE,"전력간선"}</definedName>
    <definedName name="yy" localSheetId="0" hidden="1">{#N/A,#N/A,FALSE,"전력간선"}</definedName>
    <definedName name="yy" hidden="1">{#N/A,#N/A,FALSE,"전력간선"}</definedName>
    <definedName name="YY0" localSheetId="2" hidden="1">{#N/A,#N/A,FALSE,"전력간선"}</definedName>
    <definedName name="YY0" localSheetId="1" hidden="1">{#N/A,#N/A,FALSE,"전력간선"}</definedName>
    <definedName name="YY0" localSheetId="0" hidden="1">{#N/A,#N/A,FALSE,"전력간선"}</definedName>
    <definedName name="YY0" hidden="1">{#N/A,#N/A,FALSE,"전력간선"}</definedName>
    <definedName name="yyy" localSheetId="2" hidden="1">[8]수량산출!$A$1:$A$8561</definedName>
    <definedName name="yyy" hidden="1">[9]수량산출!$A$1:$A$8561</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localSheetId="1" hidden="1">{#N/A,#N/A,FALSE,"CCTV"}</definedName>
    <definedName name="가스" localSheetId="0" hidden="1">{#N/A,#N/A,FALSE,"CCTV"}</definedName>
    <definedName name="가스" hidden="1">{#N/A,#N/A,FALSE,"CCTV"}</definedName>
    <definedName name="가스실행내역" localSheetId="2" hidden="1">{#N/A,#N/A,FALSE,"전력간선"}</definedName>
    <definedName name="가스실행내역" localSheetId="1" hidden="1">{#N/A,#N/A,FALSE,"전력간선"}</definedName>
    <definedName name="가스실행내역" localSheetId="0" hidden="1">{#N/A,#N/A,FALSE,"전력간선"}</definedName>
    <definedName name="가스실행내역" hidden="1">{#N/A,#N/A,FALSE,"전력간선"}</definedName>
    <definedName name="가실" localSheetId="2" hidden="1">{#N/A,#N/A,FALSE,"전력간선"}</definedName>
    <definedName name="가실" localSheetId="1" hidden="1">{#N/A,#N/A,FALSE,"전력간선"}</definedName>
    <definedName name="가실" localSheetId="0" hidden="1">{#N/A,#N/A,FALSE,"전력간선"}</definedName>
    <definedName name="가실" hidden="1">{#N/A,#N/A,FALSE,"전력간선"}</definedName>
    <definedName name="가아" localSheetId="2" hidden="1">[10]수량산출!#REF!</definedName>
    <definedName name="가아" hidden="1">[11]수량산출!#REF!</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2" hidden="1">#REF!</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localSheetId="2" hidden="1">[12]수량산출!$A$3:$H$8539</definedName>
    <definedName name="거ㅏ" hidden="1">[13]수량산출!$A$3:$H$8539</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'[14]내역서1999.8최종'!$A$1:$A$2438</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0"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의뢰" hidden="1">[15]프랜트면허!#REF!</definedName>
    <definedName name="공내역" localSheetId="2" hidden="1">{#N/A,#N/A,FALSE,"CCTV"}</definedName>
    <definedName name="공내역" localSheetId="1" hidden="1">{#N/A,#N/A,FALSE,"CCTV"}</definedName>
    <definedName name="공내역" localSheetId="0" hidden="1">{#N/A,#N/A,FALSE,"CCTV"}</definedName>
    <definedName name="공내역" hidden="1">{#N/A,#N/A,FALSE,"CCTV"}</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0"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사수립계획서" localSheetId="2" hidden="1">#REF!</definedName>
    <definedName name="공사수립계획서" hidden="1">#REF!</definedName>
    <definedName name="공장동" localSheetId="2" hidden="1">#REF!</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산갑지" hidden="1">#REF!</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0"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localSheetId="1" hidden="1">{#N/A,#N/A,TRUE,"자재관리";#N/A,#N/A,TRUE,"품질"}</definedName>
    <definedName name="기" localSheetId="0" hidden="1">{#N/A,#N/A,TRUE,"자재관리";#N/A,#N/A,TRUE,"품질"}</definedName>
    <definedName name="기" hidden="1">{#N/A,#N/A,TRUE,"자재관리";#N/A,#N/A,TRUE,"품질"}</definedName>
    <definedName name="기계단가1" localSheetId="2" hidden="1">{#N/A,#N/A,FALSE,"전력간선"}</definedName>
    <definedName name="기계단가1" localSheetId="1" hidden="1">{#N/A,#N/A,FALSE,"전력간선"}</definedName>
    <definedName name="기계단가1" localSheetId="0"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localSheetId="1" hidden="1">{#N/A,#N/A,TRUE,"자재관리";#N/A,#N/A,TRUE,"품질"}</definedName>
    <definedName name="ㄴ" localSheetId="0" hidden="1">{#N/A,#N/A,TRUE,"자재관리";#N/A,#N/A,TRUE,"품질"}</definedName>
    <definedName name="ㄴ" hidden="1">{#N/A,#N/A,TRUE,"자재관리";#N/A,#N/A,TRUE,"품질"}</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0" hidden="1">{#N/A,#N/A,FALSE,"자재관리";#N/A,#N/A,FALSE,"자재관리";#N/A,#N/A,FALSE,"자재관리"}</definedName>
    <definedName name="ㄴㄴㄴ" hidden="1">{#N/A,#N/A,FALSE,"자재관리";#N/A,#N/A,FALSE,"자재관리";#N/A,#N/A,FALSE,"자재관리"}</definedName>
    <definedName name="ㄴㄴㄴㄴ" localSheetId="2" hidden="1">#REF!</definedName>
    <definedName name="ㄴㄴㄴㄴ" hidden="1">#REF!</definedName>
    <definedName name="ㄴㄴㄴㄴㄴ" localSheetId="2" hidden="1">{#N/A,#N/A,TRUE,"자재관리";#N/A,#N/A,TRUE,"품질"}</definedName>
    <definedName name="ㄴㄴㄴㄴㄴ" localSheetId="1" hidden="1">{#N/A,#N/A,TRUE,"자재관리";#N/A,#N/A,TRUE,"품질"}</definedName>
    <definedName name="ㄴㄴㄴㄴㄴ" localSheetId="0"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0"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localSheetId="1" hidden="1">{#N/A,#N/A,FALSE,"CCTV"}</definedName>
    <definedName name="ㄴㅌㄴㅌ" localSheetId="0"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localSheetId="1" hidden="1">{#N/A,#N/A,FALSE,"CCTV"}</definedName>
    <definedName name="내역" localSheetId="0" hidden="1">{#N/A,#N/A,FALSE,"CCTV"}</definedName>
    <definedName name="내역" hidden="1">{#N/A,#N/A,FALSE,"CCTV"}</definedName>
    <definedName name="내역점검" localSheetId="2" hidden="1">{#N/A,#N/A,FALSE,"전력간선"}</definedName>
    <definedName name="내역점검" localSheetId="1" hidden="1">{#N/A,#N/A,FALSE,"전력간선"}</definedName>
    <definedName name="내역점검" localSheetId="0"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2" hidden="1">#REF!</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localSheetId="1" hidden="1">{#N/A,#N/A,FALSE,"전력간선"}</definedName>
    <definedName name="단가산출서" localSheetId="0" hidden="1">{#N/A,#N/A,FALSE,"전력간선"}</definedName>
    <definedName name="단가산출서" hidden="1">{#N/A,#N/A,FALSE,"전력간선"}</definedName>
    <definedName name="단열작업" localSheetId="2" hidden="1">#REF!</definedName>
    <definedName name="단열작업" hidden="1">#REF!</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localSheetId="2" hidden="1">#REF!</definedName>
    <definedName name="ㄹ32" hidden="1">#REF!</definedName>
    <definedName name="ㄹㅇㄹㅇ" localSheetId="2" hidden="1">#REF!</definedName>
    <definedName name="ㄹㅇㄹㅇ" hidden="1">#REF!</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localSheetId="1" hidden="1">{#N/A,#N/A,FALSE,"전력간선"}</definedName>
    <definedName name="럭키" localSheetId="0"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localSheetId="1" hidden="1">{#N/A,#N/A,FALSE,"자재관리";#N/A,#N/A,FALSE,"자재관리";#N/A,#N/A,FALSE,"자재관리"}</definedName>
    <definedName name="ㅁ" localSheetId="0"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0"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localSheetId="1" hidden="1">{#N/A,#N/A,FALSE,"전력간선"}</definedName>
    <definedName name="ㅁㅁ" localSheetId="0" hidden="1">{#N/A,#N/A,FALSE,"전력간선"}</definedName>
    <definedName name="ㅁㅁ" hidden="1">{#N/A,#N/A,FALSE,"전력간선"}</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0" hidden="1">{#N/A,#N/A,FALSE,"자재관리";#N/A,#N/A,FALSE,"자재관리";#N/A,#N/A,FALSE,"자재관리"}</definedName>
    <definedName name="ㅁㅇ" hidden="1">{#N/A,#N/A,FALSE,"자재관리";#N/A,#N/A,FALSE,"자재관리";#N/A,#N/A,FALSE,"자재관리"}</definedName>
    <definedName name="ㅁㅇㄹ" hidden="1">{#N/A,#N/A,FALSE,"Sheet1"}</definedName>
    <definedName name="ㅁㅇㄹㅁㅇㄹㅇㅁㄴ" hidden="1">{#N/A,#N/A,FALSE,"Sheet1"}</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localSheetId="1" hidden="1">{#N/A,#N/A,FALSE,"전력간선"}</definedName>
    <definedName name="명신" localSheetId="0" hidden="1">{#N/A,#N/A,FALSE,"전력간선"}</definedName>
    <definedName name="명신" hidden="1">{#N/A,#N/A,FALSE,"전력간선"}</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0"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localSheetId="1" hidden="1">{#N/A,#N/A,FALSE,"전력간선"}</definedName>
    <definedName name="ㅂ" localSheetId="0"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[16]설계명세!#REF!</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localSheetId="1" hidden="1">{#N/A,#N/A,FALSE,"자재관리";#N/A,#N/A,FALSE,"자재관리";#N/A,#N/A,FALSE,"자재관리"}</definedName>
    <definedName name="ㅅ" localSheetId="0" hidden="1">{#N/A,#N/A,FALSE,"자재관리";#N/A,#N/A,FALSE,"자재관리";#N/A,#N/A,FALSE,"자재관리"}</definedName>
    <definedName name="ㅅ" hidden="1">{#N/A,#N/A,FALSE,"자재관리";#N/A,#N/A,FALSE,"자재관리";#N/A,#N/A,FALSE,"자재관리"}</definedName>
    <definedName name="ㅅㅅ" localSheetId="2" hidden="1">#REF!</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출서" hidden="1">{#N/A,#N/A,FALSE,"Sheet1"}</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계대예산대비표" hidden="1">#REF!</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0"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localSheetId="1" hidden="1">{#N/A,#N/A,FALSE,"CCTV"}</definedName>
    <definedName name="소화갑지" localSheetId="0"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localSheetId="1" hidden="1">{#N/A,#N/A,TRUE,"자재관리";#N/A,#N/A,TRUE,"품질"}</definedName>
    <definedName name="ㅇ" localSheetId="0" hidden="1">{#N/A,#N/A,TRUE,"자재관리";#N/A,#N/A,TRUE,"품질"}</definedName>
    <definedName name="ㅇ" hidden="1">{#N/A,#N/A,TRUE,"자재관리";#N/A,#N/A,TRUE,"품질"}</definedName>
    <definedName name="ㅇㄴㅇㄴ" localSheetId="2" hidden="1">{#N/A,#N/A,FALSE,"CCTV"}</definedName>
    <definedName name="ㅇㄴㅇㄴ" localSheetId="1" hidden="1">{#N/A,#N/A,FALSE,"CCTV"}</definedName>
    <definedName name="ㅇㄴㅇㄴ" localSheetId="0" hidden="1">{#N/A,#N/A,FALSE,"CCTV"}</definedName>
    <definedName name="ㅇㄴㅇㄴ" hidden="1">{#N/A,#N/A,FALSE,"CCTV"}</definedName>
    <definedName name="ㅇㄹㅇㄹ" localSheetId="2" hidden="1">#REF!</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0" hidden="1">{#N/A,#N/A,FALSE,"자재관리";#N/A,#N/A,FALSE,"자재관리";#N/A,#N/A,FALSE,"자재관리"}</definedName>
    <definedName name="ㅇㅇ" hidden="1">{#N/A,#N/A,FALSE,"자재관리";#N/A,#N/A,FALSE,"자재관리";#N/A,#N/A,FALSE,"자재관리"}</definedName>
    <definedName name="ㅇㅇㄹ" localSheetId="2" hidden="1">#REF!</definedName>
    <definedName name="ㅇㅇㄹ" hidden="1">#REF!</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localSheetId="1" hidden="1">{#N/A,#N/A,TRUE,"자재관리";#N/A,#N/A,TRUE,"품질"}</definedName>
    <definedName name="ㅇㅇㅇㅇㅇ" localSheetId="0" hidden="1">{#N/A,#N/A,TRUE,"자재관리";#N/A,#N/A,TRUE,"품질"}</definedName>
    <definedName name="ㅇㅇㅇㅇㅇ" hidden="1">{#N/A,#N/A,TRUE,"자재관리";#N/A,#N/A,TRUE,"품질"}</definedName>
    <definedName name="아" localSheetId="2" hidden="1">{#N/A,#N/A,FALSE,"자재관리";#N/A,#N/A,FALSE,"자재관리";#N/A,#N/A,FALSE,"자재관리"}</definedName>
    <definedName name="아" localSheetId="1" hidden="1">{#N/A,#N/A,FALSE,"자재관리";#N/A,#N/A,FALSE,"자재관리";#N/A,#N/A,FALSE,"자재관리"}</definedName>
    <definedName name="아" localSheetId="0"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0"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2" hidden="1">{#N/A,#N/A,FALSE,"자재관리";#N/A,#N/A,FALSE,"자재관리";#N/A,#N/A,FALSE,"자재관리"}</definedName>
    <definedName name="앙" localSheetId="1" hidden="1">{#N/A,#N/A,FALSE,"자재관리";#N/A,#N/A,FALSE,"자재관리";#N/A,#N/A,FALSE,"자재관리"}</definedName>
    <definedName name="앙" localSheetId="0"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localSheetId="1" hidden="1">{#N/A,#N/A,FALSE,"자재관리";#N/A,#N/A,FALSE,"자재관리";#N/A,#N/A,FALSE,"자재관리"}</definedName>
    <definedName name="양" localSheetId="0"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localSheetId="1" hidden="1">{#N/A,#N/A,TRUE,"자재관리";#N/A,#N/A,TRUE,"품질"}</definedName>
    <definedName name="업소용" localSheetId="0"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localSheetId="1" hidden="1">{#N/A,#N/A,FALSE,"전력간선"}</definedName>
    <definedName name="염" localSheetId="0"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localSheetId="1" hidden="1">{#N/A,#N/A,FALSE,"전력간선"}</definedName>
    <definedName name="영조" localSheetId="0" hidden="1">{#N/A,#N/A,FALSE,"전력간선"}</definedName>
    <definedName name="영조" hidden="1">{#N/A,#N/A,FALSE,"전력간선"}</definedName>
    <definedName name="예상도급내역" localSheetId="2" hidden="1">{#N/A,#N/A,FALSE,"CCTV"}</definedName>
    <definedName name="예상도급내역" localSheetId="1" hidden="1">{#N/A,#N/A,FALSE,"CCTV"}</definedName>
    <definedName name="예상도급내역" localSheetId="0"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2" hidden="1">#REF!</definedName>
    <definedName name="완공3" hidden="1">#REF!</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localSheetId="1" hidden="1">{#N/A,#N/A,TRUE,"자재관리";#N/A,#N/A,TRUE,"품질"}</definedName>
    <definedName name="우인표지" localSheetId="0" hidden="1">{#N/A,#N/A,TRUE,"자재관리";#N/A,#N/A,TRUE,"품질"}</definedName>
    <definedName name="우인표지"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0"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localSheetId="1" hidden="1">{#N/A,#N/A,FALSE,"자재관리";#N/A,#N/A,FALSE,"자재관리";#N/A,#N/A,FALSE,"자재관리"}</definedName>
    <definedName name="이" localSheetId="0"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localSheetId="1" hidden="1">{#N/A,#N/A,FALSE,"전력간선"}</definedName>
    <definedName name="이름" localSheetId="0" hidden="1">{#N/A,#N/A,FALSE,"전력간선"}</definedName>
    <definedName name="이름" hidden="1">{#N/A,#N/A,FALSE,"전력간선"}</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0"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localSheetId="1" hidden="1">{#N/A,#N/A,FALSE,"자재관리";#N/A,#N/A,FALSE,"자재관리";#N/A,#N/A,FALSE,"자재관리"}</definedName>
    <definedName name="ㅈ" localSheetId="0"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0"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0"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localSheetId="1" hidden="1">{#N/A,#N/A,FALSE,"전력간선"}</definedName>
    <definedName name="전기" localSheetId="0" hidden="1">{#N/A,#N/A,FALSE,"전력간선"}</definedName>
    <definedName name="전기" hidden="1">{#N/A,#N/A,FALSE,"전력간선"}</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0"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localSheetId="1" hidden="1">{#N/A,#N/A,FALSE,"CCTV"}</definedName>
    <definedName name="정화조" localSheetId="0" hidden="1">{#N/A,#N/A,FALSE,"CCTV"}</definedName>
    <definedName name="정화조" hidden="1">{#N/A,#N/A,FALSE,"CCTV"}</definedName>
    <definedName name="조용영" hidden="1">{#N/A,#N/A,FALSE,"Sheet1"}</definedName>
    <definedName name="조적" hidden="1">#REF!</definedName>
    <definedName name="조정내역2" localSheetId="2" hidden="1">{#N/A,#N/A,FALSE,"전력간선"}</definedName>
    <definedName name="조정내역2" localSheetId="1" hidden="1">{#N/A,#N/A,FALSE,"전력간선"}</definedName>
    <definedName name="조정내역2" localSheetId="0"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0"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공" hidden="1">{#N/A,#N/A,FALSE,"운반시간"}</definedName>
    <definedName name="최종갑지1" localSheetId="2" hidden="1">{#N/A,#N/A,FALSE,"전력간선"}</definedName>
    <definedName name="최종갑지1" localSheetId="1" hidden="1">{#N/A,#N/A,FALSE,"전력간선"}</definedName>
    <definedName name="최종갑지1" localSheetId="0"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hidden="1">{#N/A,#N/A,FALSE,"골재소요량";#N/A,#N/A,FALSE,"골재소요량"}</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localSheetId="1" hidden="1">{#N/A,#N/A,TRUE,"자재관리";#N/A,#N/A,TRUE,"품질"}</definedName>
    <definedName name="투자비내역" localSheetId="0"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0"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0"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localSheetId="1" hidden="1">{#N/A,#N/A,TRUE,"자재관리";#N/A,#N/A,TRUE,"품질"}</definedName>
    <definedName name="ㅎ" localSheetId="0"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localSheetId="1" hidden="1">{#N/A,#N/A,FALSE,"CCTV"}</definedName>
    <definedName name="ㅎㅀㅀㅀㅀㄹ" localSheetId="0" hidden="1">{#N/A,#N/A,FALSE,"CCTV"}</definedName>
    <definedName name="ㅎㅀㅀㅀㅀㄹ" hidden="1">{#N/A,#N/A,FALSE,"CCTV"}</definedName>
    <definedName name="하행터널" localSheetId="2" hidden="1">{#N/A,#N/A,TRUE,"대가1"}</definedName>
    <definedName name="하행터널" localSheetId="1" hidden="1">{#N/A,#N/A,TRUE,"대가1"}</definedName>
    <definedName name="하행터널" localSheetId="0"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hidden="1">{#N/A,#N/A,FALSE,"Sheet1"}</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localSheetId="1" hidden="1">{#N/A,#N/A,FALSE,"전력간선"}</definedName>
    <definedName name="현설자재수량검토" localSheetId="0"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2" hidden="1">{"'Sheet1'!$E$23","'Sheet1'!$A$3:$H$19","'Sheet1'!$A$1:$H$19"}</definedName>
    <definedName name="ㅏㅏㅏ" localSheetId="1" hidden="1">{"'Sheet1'!$E$23","'Sheet1'!$A$3:$H$19","'Sheet1'!$A$1:$H$19"}</definedName>
    <definedName name="ㅏㅏㅏ" localSheetId="0"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localSheetId="1" hidden="1">{#N/A,#N/A,FALSE,"전력간선"}</definedName>
    <definedName name="ㅏㅓㅗ" localSheetId="0" hidden="1">{#N/A,#N/A,FALSE,"전력간선"}</definedName>
    <definedName name="ㅏㅓㅗ" hidden="1">{#N/A,#N/A,FALSE,"전력간선"}</definedName>
    <definedName name="ㅓ" localSheetId="2" hidden="1">{#N/A,#N/A,TRUE,"자재관리";#N/A,#N/A,TRUE,"품질"}</definedName>
    <definedName name="ㅓ" localSheetId="1" hidden="1">{#N/A,#N/A,TRUE,"자재관리";#N/A,#N/A,TRUE,"품질"}</definedName>
    <definedName name="ㅓ" localSheetId="0"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2" hidden="1">{#N/A,#N/A,FALSE,"자재관리";#N/A,#N/A,FALSE,"자재관리";#N/A,#N/A,FALSE,"자재관리"}</definedName>
    <definedName name="ㅛ" localSheetId="1" hidden="1">{#N/A,#N/A,FALSE,"자재관리";#N/A,#N/A,FALSE,"자재관리";#N/A,#N/A,FALSE,"자재관리"}</definedName>
    <definedName name="ㅛ" localSheetId="0" hidden="1">{#N/A,#N/A,FALSE,"자재관리";#N/A,#N/A,FALSE,"자재관리";#N/A,#N/A,FALSE,"자재관리"}</definedName>
    <definedName name="ㅛ" hidden="1">{#N/A,#N/A,FALSE,"자재관리";#N/A,#N/A,FALSE,"자재관리";#N/A,#N/A,FALSE,"자재관리"}</definedName>
    <definedName name="ㅛㅛㅛㅛ" localSheetId="2" hidden="1">[8]수량산출!$A$1:$A$8561</definedName>
    <definedName name="ㅛㅛㅛㅛ" hidden="1">[9]수량산출!$A$1:$A$8561</definedName>
    <definedName name="ㅜ" localSheetId="2" hidden="1">[12]수량산출!#REF!</definedName>
    <definedName name="ㅜ" hidden="1">[13]수량산출!#REF!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localSheetId="1" hidden="1">{#N/A,#N/A,FALSE,"전력간선"}</definedName>
    <definedName name="ㅡㅗ" localSheetId="0" hidden="1">{#N/A,#N/A,FALSE,"전력간선"}</definedName>
    <definedName name="ㅡㅗ" hidden="1">{#N/A,#N/A,FALSE,"전력간선"}</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91" i="5" l="1"/>
  <c r="U91" i="5"/>
  <c r="T91" i="5"/>
  <c r="S91" i="5"/>
  <c r="R91" i="5"/>
  <c r="Q91" i="5"/>
  <c r="P91" i="5"/>
  <c r="D91" i="5"/>
  <c r="V87" i="6"/>
  <c r="U87" i="6"/>
  <c r="T87" i="6"/>
  <c r="S87" i="6"/>
  <c r="R87" i="6"/>
  <c r="Q87" i="6"/>
  <c r="P87" i="6"/>
  <c r="O87" i="6"/>
  <c r="D87" i="6"/>
  <c r="J86" i="6"/>
  <c r="I86" i="6"/>
  <c r="G86" i="6"/>
  <c r="I85" i="6"/>
  <c r="J85" i="6" s="1"/>
  <c r="G85" i="6"/>
  <c r="J84" i="6"/>
  <c r="I84" i="6"/>
  <c r="G84" i="6"/>
  <c r="I83" i="6"/>
  <c r="J83" i="6" s="1"/>
  <c r="G83" i="6"/>
  <c r="I82" i="6"/>
  <c r="J82" i="6" s="1"/>
  <c r="G82" i="6"/>
  <c r="I81" i="6"/>
  <c r="J81" i="6" s="1"/>
  <c r="G81" i="6"/>
  <c r="I80" i="6"/>
  <c r="J80" i="6" s="1"/>
  <c r="G80" i="6"/>
  <c r="I79" i="6"/>
  <c r="J79" i="6" s="1"/>
  <c r="G79" i="6"/>
  <c r="J78" i="6"/>
  <c r="I78" i="6"/>
  <c r="G78" i="6"/>
  <c r="I77" i="6"/>
  <c r="J77" i="6" s="1"/>
  <c r="G77" i="6"/>
  <c r="J76" i="6"/>
  <c r="I76" i="6"/>
  <c r="G76" i="6"/>
  <c r="I75" i="6"/>
  <c r="J75" i="6" s="1"/>
  <c r="G75" i="6"/>
  <c r="I74" i="6"/>
  <c r="J74" i="6" s="1"/>
  <c r="G74" i="6"/>
  <c r="I73" i="6"/>
  <c r="J73" i="6" s="1"/>
  <c r="G73" i="6"/>
  <c r="I72" i="6"/>
  <c r="J72" i="6" s="1"/>
  <c r="G72" i="6"/>
  <c r="I71" i="6"/>
  <c r="J71" i="6" s="1"/>
  <c r="G71" i="6"/>
  <c r="J70" i="6"/>
  <c r="I70" i="6"/>
  <c r="G70" i="6"/>
  <c r="J69" i="6"/>
  <c r="I69" i="6"/>
  <c r="G69" i="6"/>
  <c r="J68" i="6"/>
  <c r="I68" i="6"/>
  <c r="G68" i="6"/>
  <c r="I67" i="6"/>
  <c r="J67" i="6" s="1"/>
  <c r="G67" i="6"/>
  <c r="I66" i="6"/>
  <c r="J66" i="6" s="1"/>
  <c r="G66" i="6"/>
  <c r="I65" i="6"/>
  <c r="J65" i="6" s="1"/>
  <c r="G65" i="6"/>
  <c r="I64" i="6"/>
  <c r="J64" i="6" s="1"/>
  <c r="G64" i="6"/>
  <c r="I63" i="6"/>
  <c r="J63" i="6" s="1"/>
  <c r="G63" i="6"/>
  <c r="J62" i="6"/>
  <c r="I62" i="6"/>
  <c r="G62" i="6"/>
  <c r="J61" i="6"/>
  <c r="I61" i="6"/>
  <c r="G61" i="6"/>
  <c r="J60" i="6"/>
  <c r="I60" i="6"/>
  <c r="G60" i="6"/>
  <c r="I59" i="6"/>
  <c r="J59" i="6" s="1"/>
  <c r="G59" i="6"/>
  <c r="I58" i="6"/>
  <c r="J58" i="6" s="1"/>
  <c r="G58" i="6"/>
  <c r="I57" i="6"/>
  <c r="J57" i="6" s="1"/>
  <c r="G57" i="6"/>
  <c r="I56" i="6"/>
  <c r="J56" i="6" s="1"/>
  <c r="G56" i="6"/>
  <c r="I55" i="6"/>
  <c r="J55" i="6" s="1"/>
  <c r="G55" i="6"/>
  <c r="J54" i="6"/>
  <c r="I54" i="6"/>
  <c r="G54" i="6"/>
  <c r="J53" i="6"/>
  <c r="I53" i="6"/>
  <c r="G53" i="6"/>
  <c r="J52" i="6"/>
  <c r="I52" i="6"/>
  <c r="G52" i="6"/>
  <c r="I51" i="6"/>
  <c r="J51" i="6" s="1"/>
  <c r="G51" i="6"/>
  <c r="I50" i="6"/>
  <c r="J50" i="6" s="1"/>
  <c r="G50" i="6"/>
  <c r="I49" i="6"/>
  <c r="J49" i="6" s="1"/>
  <c r="G49" i="6"/>
  <c r="I48" i="6"/>
  <c r="J48" i="6" s="1"/>
  <c r="G48" i="6"/>
  <c r="I47" i="6"/>
  <c r="J47" i="6" s="1"/>
  <c r="G47" i="6"/>
  <c r="J46" i="6"/>
  <c r="I46" i="6"/>
  <c r="G46" i="6"/>
  <c r="J45" i="6"/>
  <c r="I45" i="6"/>
  <c r="G45" i="6"/>
  <c r="J44" i="6"/>
  <c r="I44" i="6"/>
  <c r="G44" i="6"/>
  <c r="I43" i="6"/>
  <c r="J43" i="6" s="1"/>
  <c r="G43" i="6"/>
  <c r="I42" i="6"/>
  <c r="J42" i="6" s="1"/>
  <c r="G42" i="6"/>
  <c r="I41" i="6"/>
  <c r="J41" i="6" s="1"/>
  <c r="G41" i="6"/>
  <c r="J40" i="6"/>
  <c r="I40" i="6"/>
  <c r="G40" i="6"/>
  <c r="I39" i="6"/>
  <c r="J39" i="6" s="1"/>
  <c r="G39" i="6"/>
  <c r="J38" i="6"/>
  <c r="I38" i="6"/>
  <c r="G38" i="6"/>
  <c r="J37" i="6"/>
  <c r="I37" i="6"/>
  <c r="G37" i="6"/>
  <c r="J36" i="6"/>
  <c r="I36" i="6"/>
  <c r="G36" i="6"/>
  <c r="I35" i="6"/>
  <c r="J35" i="6" s="1"/>
  <c r="G35" i="6"/>
  <c r="I34" i="6"/>
  <c r="J34" i="6" s="1"/>
  <c r="J33" i="6"/>
  <c r="I33" i="6"/>
  <c r="J32" i="6"/>
  <c r="I32" i="6"/>
  <c r="J31" i="6"/>
  <c r="I31" i="6"/>
  <c r="I30" i="6"/>
  <c r="J30" i="6" s="1"/>
  <c r="J29" i="6"/>
  <c r="I29" i="6"/>
  <c r="J28" i="6"/>
  <c r="I28" i="6"/>
  <c r="J27" i="6"/>
  <c r="I27" i="6"/>
  <c r="I26" i="6"/>
  <c r="J26" i="6" s="1"/>
  <c r="J25" i="6"/>
  <c r="I25" i="6"/>
  <c r="J24" i="6"/>
  <c r="I24" i="6"/>
  <c r="J23" i="6"/>
  <c r="I23" i="6"/>
  <c r="I22" i="6"/>
  <c r="J22" i="6" s="1"/>
  <c r="J21" i="6"/>
  <c r="I21" i="6"/>
  <c r="J20" i="6"/>
  <c r="I20" i="6"/>
  <c r="J19" i="6"/>
  <c r="I19" i="6"/>
  <c r="I18" i="6"/>
  <c r="J18" i="6" s="1"/>
  <c r="J17" i="6"/>
  <c r="I17" i="6"/>
  <c r="J16" i="6"/>
  <c r="I16" i="6"/>
  <c r="J15" i="6"/>
  <c r="I15" i="6"/>
  <c r="I14" i="6"/>
  <c r="J14" i="6" s="1"/>
  <c r="J13" i="6"/>
  <c r="I13" i="6"/>
  <c r="J12" i="6"/>
  <c r="I12" i="6"/>
  <c r="J11" i="6"/>
  <c r="I11" i="6"/>
  <c r="I10" i="6"/>
  <c r="J10" i="6" s="1"/>
  <c r="J9" i="6"/>
  <c r="I9" i="6"/>
  <c r="J8" i="6"/>
  <c r="I8" i="6"/>
  <c r="J7" i="6"/>
  <c r="I7" i="6"/>
  <c r="I6" i="6"/>
  <c r="J5" i="6"/>
  <c r="I5" i="6"/>
  <c r="J4" i="6"/>
  <c r="I4" i="6"/>
  <c r="J6" i="6" l="1"/>
  <c r="I90" i="5" l="1"/>
  <c r="J90" i="5" s="1"/>
  <c r="I89" i="5"/>
  <c r="J89" i="5" s="1"/>
  <c r="I88" i="5"/>
  <c r="J88" i="5" s="1"/>
  <c r="I87" i="5"/>
  <c r="J87" i="5" s="1"/>
  <c r="O86" i="5"/>
  <c r="I86" i="5"/>
  <c r="J86" i="5" s="1"/>
  <c r="O85" i="5"/>
  <c r="I85" i="5"/>
  <c r="J85" i="5" s="1"/>
  <c r="I84" i="5"/>
  <c r="O83" i="5"/>
  <c r="I83" i="5"/>
  <c r="J83" i="5" s="1"/>
  <c r="I82" i="5"/>
  <c r="I81" i="5"/>
  <c r="I80" i="5"/>
  <c r="J80" i="5" s="1"/>
  <c r="I79" i="5"/>
  <c r="J79" i="5" s="1"/>
  <c r="I78" i="5"/>
  <c r="J78" i="5" s="1"/>
  <c r="I77" i="5"/>
  <c r="J77" i="5" s="1"/>
  <c r="O76" i="5"/>
  <c r="I76" i="5"/>
  <c r="J76" i="5" s="1"/>
  <c r="O75" i="5"/>
  <c r="I75" i="5"/>
  <c r="J75" i="5" s="1"/>
  <c r="I74" i="5"/>
  <c r="J74" i="5" s="1"/>
  <c r="I73" i="5"/>
  <c r="J73" i="5" s="1"/>
  <c r="I72" i="5"/>
  <c r="I71" i="5"/>
  <c r="J71" i="5" s="1"/>
  <c r="I70" i="5"/>
  <c r="J70" i="5" s="1"/>
  <c r="J69" i="5"/>
  <c r="I69" i="5"/>
  <c r="I68" i="5"/>
  <c r="J68" i="5" s="1"/>
  <c r="I67" i="5"/>
  <c r="J67" i="5" s="1"/>
  <c r="O66" i="5"/>
  <c r="I66" i="5"/>
  <c r="J66" i="5" s="1"/>
  <c r="I65" i="5"/>
  <c r="J65" i="5" s="1"/>
  <c r="I64" i="5"/>
  <c r="J64" i="5" s="1"/>
  <c r="O63" i="5"/>
  <c r="I63" i="5"/>
  <c r="J63" i="5" s="1"/>
  <c r="O62" i="5"/>
  <c r="I62" i="5"/>
  <c r="J62" i="5" s="1"/>
  <c r="O61" i="5"/>
  <c r="I61" i="5"/>
  <c r="J61" i="5" s="1"/>
  <c r="I60" i="5"/>
  <c r="J60" i="5" s="1"/>
  <c r="I59" i="5"/>
  <c r="J59" i="5" s="1"/>
  <c r="I58" i="5"/>
  <c r="J58" i="5" s="1"/>
  <c r="I57" i="5"/>
  <c r="J57" i="5" s="1"/>
  <c r="I56" i="5"/>
  <c r="J56" i="5" s="1"/>
  <c r="I55" i="5"/>
  <c r="J55" i="5" s="1"/>
  <c r="I54" i="5"/>
  <c r="J54" i="5" s="1"/>
  <c r="I53" i="5"/>
  <c r="J53" i="5" s="1"/>
  <c r="I52" i="5"/>
  <c r="J52" i="5" s="1"/>
  <c r="J51" i="5"/>
  <c r="I51" i="5"/>
  <c r="O50" i="5"/>
  <c r="I50" i="5"/>
  <c r="J50" i="5" s="1"/>
  <c r="O49" i="5"/>
  <c r="I49" i="5"/>
  <c r="J49" i="5" s="1"/>
  <c r="O48" i="5"/>
  <c r="I48" i="5"/>
  <c r="J48" i="5" s="1"/>
  <c r="O47" i="5"/>
  <c r="I47" i="5"/>
  <c r="J47" i="5" s="1"/>
  <c r="I46" i="5"/>
  <c r="J46" i="5" s="1"/>
  <c r="I45" i="5"/>
  <c r="J45" i="5" s="1"/>
  <c r="I44" i="5"/>
  <c r="J44" i="5" s="1"/>
  <c r="I43" i="5"/>
  <c r="J43" i="5" s="1"/>
  <c r="O42" i="5"/>
  <c r="I42" i="5"/>
  <c r="J42" i="5" s="1"/>
  <c r="I41" i="5"/>
  <c r="J41" i="5" s="1"/>
  <c r="I40" i="5"/>
  <c r="J40" i="5" s="1"/>
  <c r="O39" i="5"/>
  <c r="I39" i="5"/>
  <c r="J39" i="5" s="1"/>
  <c r="I38" i="5"/>
  <c r="J38" i="5" s="1"/>
  <c r="J37" i="5"/>
  <c r="I37" i="5"/>
  <c r="I36" i="5"/>
  <c r="J36" i="5" s="1"/>
  <c r="I35" i="5"/>
  <c r="J35" i="5" s="1"/>
  <c r="I34" i="5"/>
  <c r="J34" i="5" s="1"/>
  <c r="I33" i="5"/>
  <c r="J33" i="5" s="1"/>
  <c r="I32" i="5"/>
  <c r="J32" i="5" s="1"/>
  <c r="I31" i="5"/>
  <c r="J31" i="5" s="1"/>
  <c r="I30" i="5"/>
  <c r="J30" i="5" s="1"/>
  <c r="J29" i="5"/>
  <c r="I29" i="5"/>
  <c r="I28" i="5"/>
  <c r="J28" i="5" s="1"/>
  <c r="O27" i="5"/>
  <c r="I27" i="5"/>
  <c r="J27" i="5" s="1"/>
  <c r="O26" i="5"/>
  <c r="I26" i="5"/>
  <c r="J26" i="5" s="1"/>
  <c r="I25" i="5"/>
  <c r="J25" i="5" s="1"/>
  <c r="I24" i="5"/>
  <c r="J24" i="5" s="1"/>
  <c r="O23" i="5"/>
  <c r="I23" i="5"/>
  <c r="J23" i="5" s="1"/>
  <c r="O22" i="5"/>
  <c r="I22" i="5"/>
  <c r="J22" i="5" s="1"/>
  <c r="O21" i="5"/>
  <c r="I21" i="5"/>
  <c r="J21" i="5" s="1"/>
  <c r="O20" i="5"/>
  <c r="I20" i="5"/>
  <c r="J20" i="5" s="1"/>
  <c r="O19" i="5"/>
  <c r="I19" i="5"/>
  <c r="J19" i="5" s="1"/>
  <c r="O18" i="5"/>
  <c r="I18" i="5"/>
  <c r="J18" i="5" s="1"/>
  <c r="O17" i="5"/>
  <c r="O91" i="5" s="1"/>
  <c r="I17" i="5"/>
  <c r="J17" i="5" s="1"/>
  <c r="I16" i="5"/>
  <c r="J16" i="5" s="1"/>
  <c r="I15" i="5"/>
  <c r="J15" i="5" s="1"/>
  <c r="I14" i="5"/>
  <c r="J14" i="5" s="1"/>
  <c r="I13" i="5"/>
  <c r="J13" i="5" s="1"/>
  <c r="I12" i="5"/>
  <c r="J12" i="5" s="1"/>
  <c r="I11" i="5"/>
  <c r="J11" i="5" s="1"/>
  <c r="I10" i="5"/>
  <c r="J10" i="5" s="1"/>
  <c r="I9" i="5"/>
  <c r="J9" i="5" s="1"/>
  <c r="I8" i="5"/>
  <c r="J8" i="5" s="1"/>
  <c r="I7" i="5"/>
  <c r="J7" i="5" s="1"/>
  <c r="I6" i="5"/>
  <c r="J6" i="5" s="1"/>
  <c r="I5" i="5"/>
  <c r="J5" i="5" l="1"/>
  <c r="AL113" i="4"/>
  <c r="AK113" i="4"/>
  <c r="AJ113" i="4"/>
  <c r="AI113" i="4"/>
  <c r="AH113" i="4"/>
  <c r="AG113" i="4"/>
  <c r="AF113" i="4"/>
  <c r="AE113" i="4"/>
  <c r="AD113" i="4"/>
  <c r="AC113" i="4"/>
  <c r="AB113" i="4"/>
  <c r="AA113" i="4"/>
  <c r="Z113" i="4"/>
  <c r="Y113" i="4"/>
  <c r="X113" i="4"/>
  <c r="W113" i="4"/>
  <c r="V113" i="4"/>
  <c r="U113" i="4"/>
  <c r="T113" i="4"/>
  <c r="S113" i="4"/>
  <c r="R113" i="4"/>
  <c r="Q113" i="4"/>
  <c r="P113" i="4"/>
  <c r="O113" i="4"/>
  <c r="D113" i="4"/>
  <c r="I45" i="4"/>
  <c r="J45" i="4" s="1"/>
  <c r="I46" i="4"/>
  <c r="J46" i="4" s="1"/>
  <c r="I47" i="4"/>
  <c r="J47" i="4" s="1"/>
  <c r="I48" i="4"/>
  <c r="J48" i="4" s="1"/>
  <c r="I49" i="4"/>
  <c r="J49" i="4" s="1"/>
  <c r="I50" i="4"/>
  <c r="J50" i="4" s="1"/>
  <c r="I51" i="4"/>
  <c r="J51" i="4" s="1"/>
  <c r="I52" i="4"/>
  <c r="J52" i="4" s="1"/>
  <c r="I53" i="4"/>
  <c r="J53" i="4" s="1"/>
  <c r="I54" i="4"/>
  <c r="J54" i="4" s="1"/>
  <c r="I56" i="4"/>
  <c r="J56" i="4" s="1"/>
  <c r="I57" i="4"/>
  <c r="J57" i="4" s="1"/>
  <c r="I58" i="4"/>
  <c r="J58" i="4" s="1"/>
  <c r="I59" i="4"/>
  <c r="J59" i="4" s="1"/>
  <c r="I60" i="4"/>
  <c r="J60" i="4" s="1"/>
  <c r="I61" i="4"/>
  <c r="J61" i="4" s="1"/>
  <c r="I62" i="4"/>
  <c r="J62" i="4" s="1"/>
  <c r="I64" i="4"/>
  <c r="J64" i="4" s="1"/>
  <c r="I66" i="4"/>
  <c r="I67" i="4"/>
  <c r="J67" i="4" s="1"/>
  <c r="I68" i="4"/>
  <c r="J68" i="4" s="1"/>
  <c r="I69" i="4"/>
  <c r="J69" i="4" s="1"/>
  <c r="I70" i="4"/>
  <c r="J70" i="4" s="1"/>
  <c r="I71" i="4"/>
  <c r="J71" i="4" s="1"/>
  <c r="I72" i="4"/>
  <c r="J72" i="4" s="1"/>
  <c r="I73" i="4"/>
  <c r="J73" i="4" s="1"/>
  <c r="I74" i="4"/>
  <c r="J74" i="4" s="1"/>
  <c r="I75" i="4"/>
  <c r="J75" i="4" s="1"/>
  <c r="I76" i="4"/>
  <c r="J76" i="4" s="1"/>
  <c r="I77" i="4"/>
  <c r="J77" i="4" s="1"/>
  <c r="I78" i="4"/>
  <c r="J78" i="4" s="1"/>
  <c r="I79" i="4"/>
  <c r="J79" i="4" s="1"/>
  <c r="I80" i="4"/>
  <c r="J80" i="4" s="1"/>
  <c r="I81" i="4"/>
  <c r="J81" i="4" s="1"/>
  <c r="I82" i="4"/>
  <c r="J82" i="4" s="1"/>
  <c r="I84" i="4"/>
  <c r="J84" i="4" s="1"/>
  <c r="I85" i="4"/>
  <c r="J85" i="4" s="1"/>
  <c r="I86" i="4"/>
  <c r="J86" i="4" s="1"/>
  <c r="I87" i="4"/>
  <c r="J87" i="4" s="1"/>
  <c r="I88" i="4"/>
  <c r="J88" i="4" s="1"/>
  <c r="I89" i="4"/>
  <c r="J89" i="4" s="1"/>
  <c r="I90" i="4"/>
  <c r="J90" i="4" s="1"/>
  <c r="I91" i="4"/>
  <c r="J91" i="4" s="1"/>
  <c r="I93" i="4"/>
  <c r="J93" i="4" s="1"/>
  <c r="I94" i="4"/>
  <c r="J94" i="4" s="1"/>
  <c r="I96" i="4"/>
  <c r="J96" i="4" s="1"/>
  <c r="I97" i="4"/>
  <c r="J97" i="4" s="1"/>
  <c r="I98" i="4"/>
  <c r="J98" i="4" s="1"/>
  <c r="I99" i="4"/>
  <c r="J99" i="4" s="1"/>
  <c r="I100" i="4"/>
  <c r="J100" i="4" s="1"/>
  <c r="I101" i="4"/>
  <c r="J101" i="4" s="1"/>
  <c r="I102" i="4"/>
  <c r="J102" i="4" s="1"/>
  <c r="I103" i="4"/>
  <c r="J103" i="4" s="1"/>
  <c r="I104" i="4"/>
  <c r="J104" i="4" s="1"/>
  <c r="I105" i="4"/>
  <c r="J105" i="4" s="1"/>
  <c r="I106" i="4"/>
  <c r="J106" i="4" s="1"/>
  <c r="I107" i="4"/>
  <c r="J107" i="4" s="1"/>
  <c r="I108" i="4"/>
  <c r="J108" i="4" s="1"/>
  <c r="I109" i="4"/>
  <c r="J109" i="4" s="1"/>
  <c r="I110" i="4"/>
  <c r="J110" i="4" s="1"/>
  <c r="I111" i="4"/>
  <c r="J111" i="4" s="1"/>
  <c r="I112" i="4"/>
  <c r="J112" i="4" s="1"/>
  <c r="I43" i="4" l="1"/>
  <c r="J43" i="4" s="1"/>
  <c r="I42" i="4"/>
  <c r="J42" i="4" s="1"/>
  <c r="I41" i="4"/>
  <c r="J41" i="4" s="1"/>
  <c r="I40" i="4"/>
  <c r="J40" i="4" s="1"/>
  <c r="I39" i="4"/>
  <c r="J39" i="4" s="1"/>
  <c r="I38" i="4"/>
  <c r="J38" i="4" s="1"/>
  <c r="I37" i="4"/>
  <c r="J37" i="4" s="1"/>
  <c r="I36" i="4"/>
  <c r="J36" i="4" s="1"/>
  <c r="I35" i="4"/>
  <c r="J35" i="4" s="1"/>
  <c r="I34" i="4"/>
  <c r="J34" i="4" s="1"/>
  <c r="I33" i="4"/>
  <c r="J33" i="4" s="1"/>
  <c r="I32" i="4"/>
  <c r="J32" i="4" s="1"/>
  <c r="I31" i="4"/>
  <c r="J31" i="4" s="1"/>
  <c r="I29" i="4"/>
  <c r="J29" i="4" s="1"/>
  <c r="I28" i="4"/>
  <c r="J28" i="4" s="1"/>
  <c r="I26" i="4"/>
  <c r="J26" i="4" s="1"/>
  <c r="I25" i="4"/>
  <c r="J25" i="4" s="1"/>
  <c r="I24" i="4"/>
  <c r="J24" i="4" s="1"/>
  <c r="I23" i="4"/>
  <c r="J23" i="4" s="1"/>
  <c r="I22" i="4"/>
  <c r="J22" i="4" s="1"/>
  <c r="I21" i="4"/>
  <c r="J21" i="4" s="1"/>
  <c r="I20" i="4"/>
  <c r="J20" i="4" s="1"/>
  <c r="I18" i="4"/>
  <c r="J18" i="4" s="1"/>
  <c r="I17" i="4"/>
  <c r="J17" i="4" s="1"/>
  <c r="I16" i="4"/>
  <c r="J16" i="4" s="1"/>
  <c r="I15" i="4"/>
  <c r="J15" i="4" s="1"/>
  <c r="I14" i="4"/>
  <c r="J14" i="4" s="1"/>
  <c r="I13" i="4"/>
  <c r="J13" i="4" s="1"/>
  <c r="I11" i="4"/>
  <c r="J11" i="4" s="1"/>
  <c r="I10" i="4"/>
  <c r="J10" i="4" s="1"/>
  <c r="I9" i="4"/>
  <c r="J9" i="4" s="1"/>
  <c r="I8" i="4"/>
  <c r="J8" i="4" s="1"/>
  <c r="I7" i="4"/>
  <c r="J7" i="4" s="1"/>
  <c r="I6" i="4"/>
  <c r="J6" i="4" l="1"/>
</calcChain>
</file>

<file path=xl/sharedStrings.xml><?xml version="1.0" encoding="utf-8"?>
<sst xmlns="http://schemas.openxmlformats.org/spreadsheetml/2006/main" count="2057" uniqueCount="705">
  <si>
    <t>샘플&gt;</t>
    <phoneticPr fontId="2" type="noConversion"/>
  </si>
  <si>
    <t>일성</t>
    <phoneticPr fontId="2" type="noConversion"/>
  </si>
  <si>
    <t>3
(관리제외)</t>
    <phoneticPr fontId="2" type="noConversion"/>
  </si>
  <si>
    <t>1월1일</t>
    <phoneticPr fontId="2" type="noConversion"/>
  </si>
  <si>
    <t>14시30분</t>
    <phoneticPr fontId="2" type="noConversion"/>
  </si>
  <si>
    <t>1월2일</t>
    <phoneticPr fontId="2" type="noConversion"/>
  </si>
  <si>
    <t>15시30분</t>
    <phoneticPr fontId="2" type="noConversion"/>
  </si>
  <si>
    <t>사택 5동</t>
    <phoneticPr fontId="2" type="noConversion"/>
  </si>
  <si>
    <t>관리소
담당자</t>
    <phoneticPr fontId="2" type="noConversion"/>
  </si>
  <si>
    <t xml:space="preserve">- 문끌림 4개소/ 방충망 7개소/ 신발장 시트지 1개소
- 빨래건조 4개소 /  누수 천장 임시 철거 및 보수 </t>
    <phoneticPr fontId="2" type="noConversion"/>
  </si>
  <si>
    <t>건수</t>
    <phoneticPr fontId="2" type="noConversion"/>
  </si>
  <si>
    <t>업체명</t>
    <phoneticPr fontId="2" type="noConversion"/>
  </si>
  <si>
    <t>시작</t>
    <phoneticPr fontId="2" type="noConversion"/>
  </si>
  <si>
    <t>종료</t>
    <phoneticPr fontId="2" type="noConversion"/>
  </si>
  <si>
    <t>작업시간</t>
    <phoneticPr fontId="8" type="noConversion"/>
  </si>
  <si>
    <t>총시간</t>
    <phoneticPr fontId="8" type="noConversion"/>
  </si>
  <si>
    <t>건물동</t>
    <phoneticPr fontId="2" type="noConversion"/>
  </si>
  <si>
    <t>호실</t>
    <phoneticPr fontId="2" type="noConversion"/>
  </si>
  <si>
    <t>작업지시</t>
    <phoneticPr fontId="2" type="noConversion"/>
  </si>
  <si>
    <t>보수 내용</t>
    <phoneticPr fontId="2" type="noConversion"/>
  </si>
  <si>
    <t>일자</t>
    <phoneticPr fontId="2" type="noConversion"/>
  </si>
  <si>
    <t>시간</t>
    <phoneticPr fontId="2" type="noConversion"/>
  </si>
  <si>
    <t>(종료-시간)</t>
    <phoneticPr fontId="2" type="noConversion"/>
  </si>
  <si>
    <t>(인원*작업시간)</t>
    <phoneticPr fontId="2" type="noConversion"/>
  </si>
  <si>
    <t>방충망(개)</t>
    <phoneticPr fontId="8" type="noConversion"/>
  </si>
  <si>
    <t>도어보수(개소)</t>
    <phoneticPr fontId="8" type="noConversion"/>
  </si>
  <si>
    <t>우수관(4m본)</t>
    <phoneticPr fontId="8" type="noConversion"/>
  </si>
  <si>
    <t>우수관트랩(개)</t>
    <phoneticPr fontId="8" type="noConversion"/>
  </si>
  <si>
    <t>벽타일(㎡)</t>
    <phoneticPr fontId="8" type="noConversion"/>
  </si>
  <si>
    <t>바닥타일(㎡)</t>
    <phoneticPr fontId="8" type="noConversion"/>
  </si>
  <si>
    <t>타일본드(통)</t>
    <phoneticPr fontId="8" type="noConversion"/>
  </si>
  <si>
    <t>코킹재(개)</t>
    <phoneticPr fontId="8" type="noConversion"/>
  </si>
  <si>
    <t>걸레받이(m)</t>
    <phoneticPr fontId="8" type="noConversion"/>
  </si>
  <si>
    <t>문선몰딩(m)</t>
    <phoneticPr fontId="8" type="noConversion"/>
  </si>
  <si>
    <t>모르터(포)</t>
    <phoneticPr fontId="8" type="noConversion"/>
  </si>
  <si>
    <t>점검구</t>
    <phoneticPr fontId="8" type="noConversion"/>
  </si>
  <si>
    <t>블라인드(㎡)</t>
    <phoneticPr fontId="8" type="noConversion"/>
  </si>
  <si>
    <t>화장수납장(개)</t>
    <phoneticPr fontId="8" type="noConversion"/>
  </si>
  <si>
    <t>화장경(개)</t>
    <phoneticPr fontId="8" type="noConversion"/>
  </si>
  <si>
    <t>석고보드</t>
    <phoneticPr fontId="8" type="noConversion"/>
  </si>
  <si>
    <t>단열벽지(㎡)</t>
    <phoneticPr fontId="8" type="noConversion"/>
  </si>
  <si>
    <t>건조대(개)</t>
    <phoneticPr fontId="8" type="noConversion"/>
  </si>
  <si>
    <t>씽크후드(개)</t>
    <phoneticPr fontId="8" type="noConversion"/>
  </si>
  <si>
    <t>장판교체(㎡)</t>
    <phoneticPr fontId="8" type="noConversion"/>
  </si>
  <si>
    <t>기타</t>
    <phoneticPr fontId="8" type="noConversion"/>
  </si>
  <si>
    <t>일성건축</t>
    <phoneticPr fontId="2" type="noConversion"/>
  </si>
  <si>
    <t>남해원</t>
    <phoneticPr fontId="2" type="noConversion"/>
  </si>
  <si>
    <t>방충망(주영수) : 4개
문보수 (구진회,이정민) : 2개</t>
    <phoneticPr fontId="2" type="noConversion"/>
  </si>
  <si>
    <t>방충망(주영수): 3개/우수관(구진회): 2개소
문보수(정연두,이정민): 1개
주방타일교체(정연두,이정민)</t>
    <phoneticPr fontId="2" type="noConversion"/>
  </si>
  <si>
    <t>우수관교체-2EA</t>
    <phoneticPr fontId="8" type="noConversion"/>
  </si>
  <si>
    <t>주방 부분 도배(한명식)</t>
    <phoneticPr fontId="2" type="noConversion"/>
  </si>
  <si>
    <t>재료비 포함</t>
    <phoneticPr fontId="8" type="noConversion"/>
  </si>
  <si>
    <t>작은방 부분 도배(한명식)</t>
    <phoneticPr fontId="2" type="noConversion"/>
  </si>
  <si>
    <t>방충망(주영수) : 7개
주방타일교체(정연두,이정민)
뒷베란다 시틔 교체 (주영수)</t>
    <phoneticPr fontId="2" type="noConversion"/>
  </si>
  <si>
    <t>주방타일</t>
    <phoneticPr fontId="8" type="noConversion"/>
  </si>
  <si>
    <t>7/8</t>
    <phoneticPr fontId="2" type="noConversion"/>
  </si>
  <si>
    <t>8-408
7-401</t>
    <phoneticPr fontId="2" type="noConversion"/>
  </si>
  <si>
    <t>몰딩=2.4m*1EA</t>
    <phoneticPr fontId="8" type="noConversion"/>
  </si>
  <si>
    <t>404
205</t>
    <phoneticPr fontId="2" type="noConversion"/>
  </si>
  <si>
    <t>방충망(주영수) : 7개
화장실 몰딩 철거 (구진회)</t>
    <phoneticPr fontId="2" type="noConversion"/>
  </si>
  <si>
    <t>5-404 방충 7개</t>
    <phoneticPr fontId="8" type="noConversion"/>
  </si>
  <si>
    <t>몰딩=2.4m*3EA=7.2</t>
    <phoneticPr fontId="8" type="noConversion"/>
  </si>
  <si>
    <t>2/5</t>
    <phoneticPr fontId="2" type="noConversion"/>
  </si>
  <si>
    <t>2-104
5-205</t>
    <phoneticPr fontId="2" type="noConversion"/>
  </si>
  <si>
    <t>방충망 (주영수) : 5개
주방타일 교체(이정민,구진회)
문선몰딩 교체(이정민,구진회)</t>
    <phoneticPr fontId="2" type="noConversion"/>
  </si>
  <si>
    <t>AB</t>
    <phoneticPr fontId="2" type="noConversion"/>
  </si>
  <si>
    <t>주차장 입구측 누수 천장점검구 2개
(주영수,이정민,구진회)</t>
    <phoneticPr fontId="2" type="noConversion"/>
  </si>
  <si>
    <t>거실 부분 도배 보수(한명석)</t>
    <phoneticPr fontId="2" type="noConversion"/>
  </si>
  <si>
    <t>현관문 점검 및 보수(주영수,이정민)</t>
    <phoneticPr fontId="2" type="noConversion"/>
  </si>
  <si>
    <t>현관 및 창고 문보수(이정민)</t>
    <phoneticPr fontId="2" type="noConversion"/>
  </si>
  <si>
    <t>창고문 보수 및 걸레받이 교체(이정민)</t>
    <phoneticPr fontId="2" type="noConversion"/>
  </si>
  <si>
    <t xml:space="preserve"> </t>
    <phoneticPr fontId="8" type="noConversion"/>
  </si>
  <si>
    <t>방충망 7개소(구진회)
주방타일 보수(이정민,구진회)</t>
    <phoneticPr fontId="2" type="noConversion"/>
  </si>
  <si>
    <t>화장실타일,거울,수납장교체(이정미,구진회)
우수관 교체(구진회)</t>
    <phoneticPr fontId="2" type="noConversion"/>
  </si>
  <si>
    <t>현관 방화문보수(이정민,구진회)
베란다 창고문 및 화장실 우측방 문보수</t>
    <phoneticPr fontId="2" type="noConversion"/>
  </si>
  <si>
    <t>화장실 문파소 및 뒤틀림보수(구진회,이정민)</t>
    <phoneticPr fontId="2" type="noConversion"/>
  </si>
  <si>
    <t>화장실 거울,수납장 교체(구진회,이정민)
화장실 문파손 및 뒤틀릴 보수</t>
    <phoneticPr fontId="2" type="noConversion"/>
  </si>
  <si>
    <t xml:space="preserve"> </t>
    <phoneticPr fontId="2" type="noConversion"/>
  </si>
  <si>
    <t>거울+수납장교체+도어경첩교체+도어필름부분교체</t>
    <phoneticPr fontId="8" type="noConversion"/>
  </si>
  <si>
    <t>A</t>
    <phoneticPr fontId="2" type="noConversion"/>
  </si>
  <si>
    <t>402-1
403-2</t>
    <phoneticPr fontId="2" type="noConversion"/>
  </si>
  <si>
    <t>데코타일,도어,벽체석고보드 보수
발코니 창문 양면테이프 제거
(구진회,이정민)</t>
    <phoneticPr fontId="2" type="noConversion"/>
  </si>
  <si>
    <t>A402-1 석고보드</t>
    <phoneticPr fontId="8" type="noConversion"/>
  </si>
  <si>
    <t>방추망 7개소(구진회,김용칠)
뒷베란다 상단 크랙보수</t>
    <phoneticPr fontId="2" type="noConversion"/>
  </si>
  <si>
    <t>코킹 철거후 재시공-코킹재</t>
    <phoneticPr fontId="8" type="noConversion"/>
  </si>
  <si>
    <t xml:space="preserve"> A</t>
    <phoneticPr fontId="2" type="noConversion"/>
  </si>
  <si>
    <t>904-5</t>
    <phoneticPr fontId="2" type="noConversion"/>
  </si>
  <si>
    <t>화장실 도어 보수(구진회,김용칠)
천장 보수(천장 누수)</t>
    <phoneticPr fontId="2" type="noConversion"/>
  </si>
  <si>
    <t>석고보드-1EA</t>
    <phoneticPr fontId="8" type="noConversion"/>
  </si>
  <si>
    <t>701-1</t>
    <phoneticPr fontId="2" type="noConversion"/>
  </si>
  <si>
    <t>벽체석고들뜸보수
화장실 바닥 타일 철거
(이정민,구진회)</t>
    <phoneticPr fontId="2" type="noConversion"/>
  </si>
  <si>
    <t>A
B</t>
    <phoneticPr fontId="2" type="noConversion"/>
  </si>
  <si>
    <t>A701-1
A704-4
B701-2</t>
    <phoneticPr fontId="2" type="noConversion"/>
  </si>
  <si>
    <t>화장실 바닥 타일 설치
문 보수 2개소
(이정민,구진회)</t>
    <phoneticPr fontId="2" type="noConversion"/>
  </si>
  <si>
    <t>바닥타일 전체교체+코킹재</t>
    <phoneticPr fontId="8" type="noConversion"/>
  </si>
  <si>
    <t>B</t>
    <phoneticPr fontId="2" type="noConversion"/>
  </si>
  <si>
    <t>704-2</t>
    <phoneticPr fontId="2" type="noConversion"/>
  </si>
  <si>
    <t>문보수 1개소
발코니 수납장 곰팡이 제거
(이정민,구진회)</t>
    <phoneticPr fontId="2" type="noConversion"/>
  </si>
  <si>
    <t>화장실 타일보수(구진회)</t>
    <phoneticPr fontId="2" type="noConversion"/>
  </si>
  <si>
    <t>304-5
403-2</t>
    <phoneticPr fontId="2" type="noConversion"/>
  </si>
  <si>
    <t>블라인드 2개소(구진회,김용칠)</t>
    <phoneticPr fontId="2" type="noConversion"/>
  </si>
  <si>
    <t>방충망 교체 2개/앞베란다 우수관교체
베란다 크랙보수 및 외부 상부 실리콘
방충망 높이 조정보수 4개소
(구진회,김용칠)</t>
    <phoneticPr fontId="2" type="noConversion"/>
  </si>
  <si>
    <t>화학 작업 삭제</t>
    <phoneticPr fontId="8" type="noConversion"/>
  </si>
  <si>
    <t>방충망 3개 교체
거실 걸레받이 부분 보수
벽면 크랙 및 문 보수 2개소
(구진회,김용칠)</t>
    <phoneticPr fontId="2" type="noConversion"/>
  </si>
  <si>
    <t>방충망 3개 교체
붙박이장 단열재 철거 및 시공 2개소
몰딩 필름 제거
(구진회,김용칠)</t>
    <phoneticPr fontId="2" type="noConversion"/>
  </si>
  <si>
    <t>붙박이장  2개소 단열</t>
    <phoneticPr fontId="8" type="noConversion"/>
  </si>
  <si>
    <t>지하</t>
    <phoneticPr fontId="2" type="noConversion"/>
  </si>
  <si>
    <t>여자 미화원 욕실타일 철거(구진회,김용칠)</t>
    <phoneticPr fontId="2" type="noConversion"/>
  </si>
  <si>
    <t>3
2</t>
    <phoneticPr fontId="2" type="noConversion"/>
  </si>
  <si>
    <t>지하
101</t>
    <phoneticPr fontId="2" type="noConversion"/>
  </si>
  <si>
    <t>여자 미화원 욕실타일 설치(이정민)
몰딩 필름 시공,크랙보수,붙박이장 단열재시공
(구진회,김용칠)</t>
    <phoneticPr fontId="2" type="noConversion"/>
  </si>
  <si>
    <t>벽타일 +타일본드+붙박이장 2개소-단열 벽지</t>
    <phoneticPr fontId="8" type="noConversion"/>
  </si>
  <si>
    <t>방충망 3개소(구진회)
화장실 타일 철거(이정민)</t>
    <phoneticPr fontId="2" type="noConversion"/>
  </si>
  <si>
    <t>방충망 4개소 / 화장실 타일 교체
방문 보수 2개소
(구진회,이정민)</t>
    <phoneticPr fontId="2" type="noConversion"/>
  </si>
  <si>
    <t>화장실 타일</t>
    <phoneticPr fontId="8" type="noConversion"/>
  </si>
  <si>
    <t>301-2
401-2</t>
    <phoneticPr fontId="2" type="noConversion"/>
  </si>
  <si>
    <t>문보수 3개소(구진회,이정민)</t>
    <phoneticPr fontId="2" type="noConversion"/>
  </si>
  <si>
    <t>이종근</t>
    <phoneticPr fontId="2" type="noConversion"/>
  </si>
  <si>
    <t>화장실 타일 보수(구진회,이정민)</t>
    <phoneticPr fontId="2" type="noConversion"/>
  </si>
  <si>
    <t>401-2
401-5
703-5
901-2</t>
    <phoneticPr fontId="2" type="noConversion"/>
  </si>
  <si>
    <t>문보수 4개소
석고보드 벽체 들뜸(401-5 )
(구진회,이정민)</t>
    <phoneticPr fontId="2" type="noConversion"/>
  </si>
  <si>
    <t>A401-5 석고보드</t>
    <phoneticPr fontId="8" type="noConversion"/>
  </si>
  <si>
    <t>B
2
103</t>
    <phoneticPr fontId="2" type="noConversion"/>
  </si>
  <si>
    <t>903-2
101
101</t>
    <phoneticPr fontId="2" type="noConversion"/>
  </si>
  <si>
    <t>문보수 1개소(903-2)
빨래건조대, 가스렌지 후드(2-101)
벽체 단열재 보수(103-101)
(구진회,이정민)</t>
    <phoneticPr fontId="2" type="noConversion"/>
  </si>
  <si>
    <t>2-101 건조대+가스렌지 후드</t>
    <phoneticPr fontId="8" type="noConversion"/>
  </si>
  <si>
    <t>표준단가 적용</t>
    <phoneticPr fontId="8" type="noConversion"/>
  </si>
  <si>
    <t>거실+주방 장판보수-누수에 의한 오염으로 교체,-관리사무소 요청건, 13m*1.8=23.4㎡, 수량*표준단가 적용</t>
    <phoneticPr fontId="8" type="noConversion"/>
  </si>
  <si>
    <t>합 계</t>
    <phoneticPr fontId="8" type="noConversion"/>
  </si>
  <si>
    <t>(구진회/이정민)
문 보수 3개소
방충망 7개소외 바닥 높이 2개</t>
  </si>
  <si>
    <t>(구진회/이정민)
화장실 타일 보수
화장실 도어 문선몰딩 교체
천장 몰딩 필름 제거</t>
  </si>
  <si>
    <t>(구진회/이정민)
뒷베란다 점검구 설치</t>
  </si>
  <si>
    <t>(구진회/이정민)
화장실 타일 보수
화장실 도어 문선 몰딩 교체
천장몰딩 필름 제거</t>
  </si>
  <si>
    <t>(구진회/이정민)
천장몰딩 필름제거 및 방화문 보수</t>
  </si>
  <si>
    <t>(구진회/이정민)
문보수 1개소 및 빨래 건조대 설치</t>
  </si>
  <si>
    <t>(구진회/이정민)
방충망 7개소
화장실 바닥 실리콘</t>
  </si>
  <si>
    <t>(구진회/이정민)
방충망 1개소
안방화장실 타일보수 및 문보수 2개소
거실 걸레받이 부분 보수</t>
  </si>
  <si>
    <t>(구진회/이정민)
방웇망 3개소
문보수 2개소</t>
  </si>
  <si>
    <t>(구진회/이정민)
문보수 1개소
걸레받이 부분 보수 2개소</t>
  </si>
  <si>
    <t>(구진회/이정민)
화장경 교체
씽크대 하부 상판 실리콘 작업</t>
  </si>
  <si>
    <t>(구진회,이정민)
문보수 1개소
베란다 크랙보수</t>
    <phoneticPr fontId="2" type="noConversion"/>
  </si>
  <si>
    <t>(구진회,이정민)
화장실 타일 보수</t>
    <phoneticPr fontId="2" type="noConversion"/>
  </si>
  <si>
    <t>503-2
703-6</t>
    <phoneticPr fontId="2" type="noConversion"/>
  </si>
  <si>
    <t>(구진회,이정민)
블라인드</t>
    <phoneticPr fontId="2" type="noConversion"/>
  </si>
  <si>
    <t>(이정민)
방추망 7개소
참문 시트지 제거</t>
    <phoneticPr fontId="2" type="noConversion"/>
  </si>
  <si>
    <t>5
2</t>
    <phoneticPr fontId="2" type="noConversion"/>
  </si>
  <si>
    <t>104
402</t>
    <phoneticPr fontId="2" type="noConversion"/>
  </si>
  <si>
    <t>빨래 건조대 교체(구진회)
방충망 교체 (5개소)(구진회의)
씽크대 하부 몰딩보수(이정민)
앞,뒷베란다 코킹 보수 (이정민)</t>
    <phoneticPr fontId="2" type="noConversion"/>
  </si>
  <si>
    <t>(구진회,이정민)
빨래 건조대 , 거실 , 주방 바닥 패임 보수
방충망 7개소 교체(바닥 높임 3개소)
도어보수 2개소(문옆면 대패질)
씽크대 하부장 코킹 철거 및 코킹 작업</t>
    <phoneticPr fontId="2" type="noConversion"/>
  </si>
  <si>
    <t>(구진회,이정민)
방충망 4개소 교체(레인 높이 조절 2개소)
문보수 1개소</t>
    <phoneticPr fontId="2" type="noConversion"/>
  </si>
  <si>
    <t>5
8</t>
    <phoneticPr fontId="2" type="noConversion"/>
  </si>
  <si>
    <t>102
110</t>
    <phoneticPr fontId="2" type="noConversion"/>
  </si>
  <si>
    <t>(구진회,이정민)
방충망 3개소 교체 / 문보수 (문턱보수)
방충망 7개소
씽크대 상판 코킹 철거 및 재시공
문보수 1개소 (경첩 보수 1개)</t>
    <phoneticPr fontId="2" type="noConversion"/>
  </si>
  <si>
    <t>(구진회,이정민)
빨래 건조대 및 주방 타일 보수
우수배관 1개소 교체</t>
    <phoneticPr fontId="2" type="noConversion"/>
  </si>
  <si>
    <t>방충망 7개소 교체(바닥 높임)
화장실 타일 보수 실리콘 작업
뒷베란다 벽면 크랙 보수</t>
    <phoneticPr fontId="2" type="noConversion"/>
  </si>
  <si>
    <t>(구진회,이정민)
문보수 2개소 외 경첩 보수
방충망 7개소 교체 및 바닥 높이 3개소</t>
    <phoneticPr fontId="2" type="noConversion"/>
  </si>
  <si>
    <t>8
8</t>
    <phoneticPr fontId="2" type="noConversion"/>
  </si>
  <si>
    <t>508
107</t>
    <phoneticPr fontId="2" type="noConversion"/>
  </si>
  <si>
    <t>씽크대 도어 3개 교체
씽크대 도어 3개 교체</t>
    <phoneticPr fontId="2" type="noConversion"/>
  </si>
  <si>
    <t>세금계산서 첨부</t>
    <phoneticPr fontId="8" type="noConversion"/>
  </si>
  <si>
    <t>9
5</t>
    <phoneticPr fontId="2" type="noConversion"/>
  </si>
  <si>
    <t>201
104</t>
    <phoneticPr fontId="2" type="noConversion"/>
  </si>
  <si>
    <t>(한만홍)
장판 교체</t>
    <phoneticPr fontId="2" type="noConversion"/>
  </si>
  <si>
    <t>10m*1.8m, 표준단가 적용</t>
    <phoneticPr fontId="8" type="noConversion"/>
  </si>
  <si>
    <t>5
9</t>
    <phoneticPr fontId="2" type="noConversion"/>
  </si>
  <si>
    <t>104
505</t>
    <phoneticPr fontId="2" type="noConversion"/>
  </si>
  <si>
    <t>(이동원)
씽크대 하부 마감판 설치
상부장 경첩보수, 측면 마감판 교체</t>
    <phoneticPr fontId="2" type="noConversion"/>
  </si>
  <si>
    <t>자재비 세금계산서 첨부</t>
    <phoneticPr fontId="8" type="noConversion"/>
  </si>
  <si>
    <t>7
8
1 , 2</t>
    <phoneticPr fontId="2" type="noConversion"/>
  </si>
  <si>
    <t>103
305
외부석축</t>
    <phoneticPr fontId="2" type="noConversion"/>
  </si>
  <si>
    <t>문선몰딩 교체 (이정민)
거실 천장 석고 보수(구진회,김용칠)
석축 하부 보강(구진회,이정민,김용칠)</t>
    <phoneticPr fontId="2" type="noConversion"/>
  </si>
  <si>
    <t>강화모르터</t>
    <phoneticPr fontId="8" type="noConversion"/>
  </si>
  <si>
    <t>1 , 2</t>
    <phoneticPr fontId="2" type="noConversion"/>
  </si>
  <si>
    <t>외부석축</t>
    <phoneticPr fontId="2" type="noConversion"/>
  </si>
  <si>
    <t>석축 하부 보강 ( 이정민,김용칠)</t>
    <phoneticPr fontId="2" type="noConversion"/>
  </si>
  <si>
    <t>8
9
7</t>
    <phoneticPr fontId="2" type="noConversion"/>
  </si>
  <si>
    <t>501
401
507</t>
    <phoneticPr fontId="2" type="noConversion"/>
  </si>
  <si>
    <t>(김용칠)
방충망 7개소 교체
현관 바닥타ㅓ일 본드제거
문보수 1개소/ 거실 벽면 단열재 들뜸 보수</t>
    <phoneticPr fontId="2" type="noConversion"/>
  </si>
  <si>
    <t>9
8
102
5</t>
    <phoneticPr fontId="2" type="noConversion"/>
  </si>
  <si>
    <t>401
208
505
303</t>
    <phoneticPr fontId="2" type="noConversion"/>
  </si>
  <si>
    <t>(구진회,김용칠)
방충망 7개 교체
방충망 7개 교체
방충망 2개 교체
방충망 7개 교체</t>
    <phoneticPr fontId="2" type="noConversion"/>
  </si>
  <si>
    <t>102
5
8
7
8</t>
    <phoneticPr fontId="2" type="noConversion"/>
  </si>
  <si>
    <t>505
303
501
507
208</t>
    <phoneticPr fontId="2" type="noConversion"/>
  </si>
  <si>
    <t>(구진회,이정민,김용칠)
문보수 1개
문보수 1개/씽크대 하부 상판 코킹
화장실 수직 모서리 4개소 코킹
화장실 수직 모서리 4개소 코킹
뒷베란다 벽 앙카 제거후 코킹
화장실 수직 모서리 4개소 코킹</t>
    <phoneticPr fontId="2" type="noConversion"/>
  </si>
  <si>
    <t>8
9</t>
    <phoneticPr fontId="2" type="noConversion"/>
  </si>
  <si>
    <t>507
203</t>
    <phoneticPr fontId="2" type="noConversion"/>
  </si>
  <si>
    <t>(구진회,이정민,김용칠)
뒤베란다 벽면,천장 곰팡이 제거
화장실 벽타일 부분 교체(샤워기 교체)
화장실 코너 4개소 코킹
도어보수 1 개소
화장실 코너 4개소 코킹</t>
    <phoneticPr fontId="2" type="noConversion"/>
  </si>
  <si>
    <t>402
507</t>
    <phoneticPr fontId="2" type="noConversion"/>
  </si>
  <si>
    <t>(이정민,김용칠)
화장실 타일교체(샤워부스 탈부착)
씽크대 하부상판 코킹 제거후 재시공
빨래건조대 철거후 설치
화장실 코너 4개소 코킹 작업
방충망 7개소 완료(구진회)</t>
    <phoneticPr fontId="2" type="noConversion"/>
  </si>
  <si>
    <t>9
8</t>
    <phoneticPr fontId="2" type="noConversion"/>
  </si>
  <si>
    <t>203
402</t>
    <phoneticPr fontId="2" type="noConversion"/>
  </si>
  <si>
    <t>(구진회)
방충망 7개소 완료
방충망 7개소 완료</t>
    <phoneticPr fontId="2" type="noConversion"/>
  </si>
  <si>
    <t>8
7
7</t>
    <phoneticPr fontId="2" type="noConversion"/>
  </si>
  <si>
    <t>402
206
404</t>
    <phoneticPr fontId="2" type="noConversion"/>
  </si>
  <si>
    <t>(이정민,김용칠)
도어 보수 2개소
도어 보수 1개소
도어 보수 1개소</t>
    <phoneticPr fontId="2" type="noConversion"/>
  </si>
  <si>
    <t>106
309</t>
    <phoneticPr fontId="2" type="noConversion"/>
  </si>
  <si>
    <t>화장실 벽타일 보수 (이정민)
방충망 7개소 완료(김용칠,구진회)
방충망 7개소 완료(김용칠,구진회)</t>
    <phoneticPr fontId="2" type="noConversion"/>
  </si>
  <si>
    <t>9
8
9</t>
    <phoneticPr fontId="2" type="noConversion"/>
  </si>
  <si>
    <t>106
309
203</t>
    <phoneticPr fontId="2" type="noConversion"/>
  </si>
  <si>
    <t>화장실 벽타일 보수(이정민)
문보수 3개소 완료(구진회,김용칠)
씽크대 하부상판 코킹 철거후 재시공(구진회,김용칠)
씽크대 하부상판 코킹 절거후 재시공(구진회,김용칠)</t>
    <phoneticPr fontId="2" type="noConversion"/>
  </si>
  <si>
    <t>106
201</t>
    <phoneticPr fontId="2" type="noConversion"/>
  </si>
  <si>
    <t>네이버 구입 첨부자료</t>
    <phoneticPr fontId="8" type="noConversion"/>
  </si>
  <si>
    <t>5
2
2</t>
    <phoneticPr fontId="2" type="noConversion"/>
  </si>
  <si>
    <t>201
107
307</t>
    <phoneticPr fontId="2" type="noConversion"/>
  </si>
  <si>
    <t>(구진회,김용칠)
씽크대 타일 보수
문보수 1개소
문보수 2개소</t>
    <phoneticPr fontId="2" type="noConversion"/>
  </si>
  <si>
    <t>5
7
2
5
2
5</t>
    <phoneticPr fontId="2" type="noConversion"/>
  </si>
  <si>
    <t>201
502
107
201
303
201</t>
    <phoneticPr fontId="2" type="noConversion"/>
  </si>
  <si>
    <t>문보수 2개소 (이정민)
문보수 1개소 (이정민)
신발장 필름 교체(구진회)
거실 벽면 몰딩, 시트지 부분 교체(구진회)
방충망 3개소 교체(김용칠)
방충망 2개소 교체(김용칠)</t>
    <phoneticPr fontId="2" type="noConversion"/>
  </si>
  <si>
    <t>5
9
103</t>
    <phoneticPr fontId="2" type="noConversion"/>
  </si>
  <si>
    <t>402
203
1~2라인</t>
    <phoneticPr fontId="2" type="noConversion"/>
  </si>
  <si>
    <t>천장 석고 보수
씽크대 실리콘 작업
바닥 타일 보수</t>
    <phoneticPr fontId="2" type="noConversion"/>
  </si>
  <si>
    <t>8
5</t>
    <phoneticPr fontId="2" type="noConversion"/>
  </si>
  <si>
    <t>309
402</t>
    <phoneticPr fontId="2" type="noConversion"/>
  </si>
  <si>
    <t>샤워부스 철거 및 타일 보수(이정민)
천장 몰딩 보수 및 보양, 청소</t>
    <phoneticPr fontId="2" type="noConversion"/>
  </si>
  <si>
    <t>(한명석)
안방 천장 도배 재시공, 안방 천장 도배 5-302,  15㎡</t>
    <phoneticPr fontId="8" type="noConversion"/>
  </si>
  <si>
    <t>타일 철거 및 보수(이정민)
모서리 실리콘 작업</t>
    <phoneticPr fontId="2" type="noConversion"/>
  </si>
  <si>
    <t>7
2</t>
    <phoneticPr fontId="2" type="noConversion"/>
  </si>
  <si>
    <t>107
308</t>
    <phoneticPr fontId="2" type="noConversion"/>
  </si>
  <si>
    <t>(구진회,이정민)
문보수 2개소
문보수 1개소
화장실 바닥타일 보수</t>
    <phoneticPr fontId="2" type="noConversion"/>
  </si>
  <si>
    <t>(구진회,이정민)
앞,뒷 베란다 곰팡이 제거
뒷 베란다 벽면 단열재 들뜸 보수
붙박이장 단열재 재시공</t>
    <phoneticPr fontId="2" type="noConversion"/>
  </si>
  <si>
    <t xml:space="preserve">주방 우측방 붙박이장 단열재 재시공 </t>
    <phoneticPr fontId="8" type="noConversion"/>
  </si>
  <si>
    <t>놀이시설 운동용품 보수</t>
    <phoneticPr fontId="8" type="noConversion"/>
  </si>
  <si>
    <t>₩454, 960</t>
    <phoneticPr fontId="8" type="noConversion"/>
  </si>
  <si>
    <t>407
102</t>
    <phoneticPr fontId="2" type="noConversion"/>
  </si>
  <si>
    <t>(구진회,이정민)
화장실 4개소 모서리 실리콘 작업
문보수 2개
화장실 4개 모서리 실리콘 작업
화장실 타일 보수</t>
    <phoneticPr fontId="2" type="noConversion"/>
  </si>
  <si>
    <t>(이정민,구진회)
뒤베란다 곰팡이 제거
앞베란다 샤시 아래 부분 실리콘 작업</t>
    <phoneticPr fontId="2" type="noConversion"/>
  </si>
  <si>
    <t>301-5
501-3</t>
    <phoneticPr fontId="2" type="noConversion"/>
  </si>
  <si>
    <t>(이정민,구진회)
버티컬 교체
문보수 1개소
문보수 1개소</t>
    <phoneticPr fontId="2" type="noConversion"/>
  </si>
  <si>
    <t xml:space="preserve">(이동원)
씽크대 도어 4개 교체 </t>
    <phoneticPr fontId="2" type="noConversion"/>
  </si>
  <si>
    <t>501-3
503-6
701-4
903-2</t>
    <phoneticPr fontId="2" type="noConversion"/>
  </si>
  <si>
    <t>(이정민,구진회)
문보수 1개
문보수 2개
화장실 타일 보수
문보수 1개</t>
    <phoneticPr fontId="2" type="noConversion"/>
  </si>
  <si>
    <t>(이정민,구진회)
방충망 6개소</t>
    <phoneticPr fontId="2" type="noConversion"/>
  </si>
  <si>
    <t>302
405</t>
    <phoneticPr fontId="2" type="noConversion"/>
  </si>
  <si>
    <t>(한명석)
안방 천장 도배 5-302,  15㎡
주방 천장 도배 8-405   12㎡</t>
    <phoneticPr fontId="2" type="noConversion"/>
  </si>
  <si>
    <t>7
8
101</t>
    <phoneticPr fontId="2" type="noConversion"/>
  </si>
  <si>
    <t>505
309
304</t>
    <phoneticPr fontId="2" type="noConversion"/>
  </si>
  <si>
    <t>(이정민,구진회)
씽크대 후드 점검 및 보수 ( 이정민,구진회)
씽크대 하부 마감판 교체 완료
창문 고무패킹 보수</t>
    <phoneticPr fontId="2" type="noConversion"/>
  </si>
  <si>
    <t>5
8
8</t>
    <phoneticPr fontId="2" type="noConversion"/>
  </si>
  <si>
    <t>경비실
404
509</t>
    <phoneticPr fontId="2" type="noConversion"/>
  </si>
  <si>
    <t>(이정민,구진회)
입구계단 안전봉 설치
문보수(1개소) / 화장실 문선몰딩 제거,설치
문보수(1개소) / 뒤베란다 창고 곰팡이 제거</t>
    <phoneticPr fontId="2" type="noConversion"/>
  </si>
  <si>
    <t>안전봉 구입 자재비 첨부1, 참조</t>
    <phoneticPr fontId="8" type="noConversion"/>
  </si>
  <si>
    <t>어린이집</t>
    <phoneticPr fontId="2" type="noConversion"/>
  </si>
  <si>
    <t>햇님반
달님반
별님반</t>
    <phoneticPr fontId="2" type="noConversion"/>
  </si>
  <si>
    <t>(임민현,염영순)
비상 출입문 보수</t>
    <phoneticPr fontId="2" type="noConversion"/>
  </si>
  <si>
    <t>404
509</t>
    <phoneticPr fontId="2" type="noConversion"/>
  </si>
  <si>
    <t>(구진회)
방충망 7개소 교체
방충망 7개소 교체</t>
    <phoneticPr fontId="2" type="noConversion"/>
  </si>
  <si>
    <t>7동</t>
    <phoneticPr fontId="2" type="noConversion"/>
  </si>
  <si>
    <t>놀이터</t>
    <phoneticPr fontId="2" type="noConversion"/>
  </si>
  <si>
    <t>(구진회)
놀이터 의자 목재 오일스텐 작업
놀이터 테이블 2개소 바탕정리</t>
    <phoneticPr fontId="2" type="noConversion"/>
  </si>
  <si>
    <t>오일스텐 자재비 첨부, 2참조</t>
    <phoneticPr fontId="8" type="noConversion"/>
  </si>
  <si>
    <t>(구진회)
놀이터 테이블 2개소 오일스텐 작업</t>
    <phoneticPr fontId="2" type="noConversion"/>
  </si>
  <si>
    <t>(구진회,최경섭)
놀이터 의자 목재 재시공 및 오일 스텐
놀이터 운동시설 도장 및 시설 도장 작업</t>
    <phoneticPr fontId="2" type="noConversion"/>
  </si>
  <si>
    <t>의자보수용 목재구입, 자재비 세금계산서 첨부3, 참조</t>
    <phoneticPr fontId="8" type="noConversion"/>
  </si>
  <si>
    <t>2동</t>
    <phoneticPr fontId="2" type="noConversion"/>
  </si>
  <si>
    <t>(임민현,염영순)
세대 출입문 보수</t>
    <phoneticPr fontId="2" type="noConversion"/>
  </si>
  <si>
    <t>전문업체 세금계산서 첨부4, 참조</t>
    <phoneticPr fontId="8" type="noConversion"/>
  </si>
  <si>
    <t>103동</t>
    <phoneticPr fontId="2" type="noConversion"/>
  </si>
  <si>
    <t>1-2라인</t>
    <phoneticPr fontId="2" type="noConversion"/>
  </si>
  <si>
    <t>(임민현,임경택)
자동문 보수</t>
    <phoneticPr fontId="2" type="noConversion"/>
  </si>
  <si>
    <t>전문업체 세금계산서 첨부5 참조</t>
    <phoneticPr fontId="8" type="noConversion"/>
  </si>
  <si>
    <t>씽크문 1개 교체</t>
    <phoneticPr fontId="2" type="noConversion"/>
  </si>
  <si>
    <t>전문업체 세금계산서 첨부6 참조</t>
    <phoneticPr fontId="8" type="noConversion"/>
  </si>
  <si>
    <t>7동</t>
    <phoneticPr fontId="8" type="noConversion"/>
  </si>
  <si>
    <t>놀이터</t>
    <phoneticPr fontId="8" type="noConversion"/>
  </si>
  <si>
    <t>놀이터 탁자 도장
놀이터 기둥 도장(등나무)</t>
    <phoneticPr fontId="2" type="noConversion"/>
  </si>
  <si>
    <t>운동기구 도장 재료비 거래명세서 첨부7 참조</t>
    <phoneticPr fontId="8" type="noConversion"/>
  </si>
  <si>
    <t>(구진회)
문보수(1개소) /화장실 좌측방문</t>
    <phoneticPr fontId="2" type="noConversion"/>
  </si>
  <si>
    <t>1.방충망-2개(주방좌측방, 앞베란다 실외기실)교체 2.거실 우측방(모서리) 걸레받이(1개소) 보수 또는 교체 3.문끌림-3개(주방우측방문, 거실화장실문, 거실우측방문)보수</t>
    <phoneticPr fontId="8" type="noConversion"/>
  </si>
  <si>
    <t>신발장 필름 교체(㎡)</t>
    <phoneticPr fontId="2" type="noConversion"/>
  </si>
  <si>
    <t>도배(㎡)</t>
    <phoneticPr fontId="2" type="noConversion"/>
  </si>
  <si>
    <t>점검구</t>
    <phoneticPr fontId="2" type="noConversion"/>
  </si>
  <si>
    <t>대덕 비즈센터</t>
    <phoneticPr fontId="2" type="noConversion"/>
  </si>
  <si>
    <t>810호</t>
    <phoneticPr fontId="2" type="noConversion"/>
  </si>
  <si>
    <t xml:space="preserve"> 전자도어록 교체</t>
    <phoneticPr fontId="2" type="noConversion"/>
  </si>
  <si>
    <t>문보수 (구진회,이정민)
방충망(주영수) : 1개
방 바닥 보수 (구진회,이정민)
방 2개소 몰딩 작업</t>
    <phoneticPr fontId="2" type="noConversion"/>
  </si>
  <si>
    <t>방충망(주영수): 7개/주방타일교체(구진회,이정민)
화장실 몰딩 교체(구진회,이정민)
뒷베란다 실리콘(구진회,이정민)</t>
    <phoneticPr fontId="2" type="noConversion"/>
  </si>
  <si>
    <t>(구진회,이정민)
빨래 건조대 교체
우수배관 교체 2개소
문보수(뒤베란다 창고문) 및 방충망(7개소) 교체</t>
    <phoneticPr fontId="2" type="noConversion"/>
  </si>
  <si>
    <t>화장실 벽타일 보수_파티션,샤워부스 탈부착(이정민)
문 보수 3개소 완료(구진회,김용칠)
씽크대 하부상판 코킹 철거후 재시공(구진회,김용칠)
씽크대 하부상판 코킹 철거후 재소공(구진회,김용칠)</t>
    <phoneticPr fontId="2" type="noConversion"/>
  </si>
  <si>
    <t>24년</t>
    <phoneticPr fontId="2" type="noConversion"/>
  </si>
  <si>
    <t>작업시간(인당)</t>
    <phoneticPr fontId="8" type="noConversion"/>
  </si>
  <si>
    <t>전체 시간</t>
    <phoneticPr fontId="8" type="noConversion"/>
  </si>
  <si>
    <t>특별인부
(시공사 입력)</t>
    <phoneticPr fontId="8" type="noConversion"/>
  </si>
  <si>
    <t>자재 내역</t>
    <phoneticPr fontId="8" type="noConversion"/>
  </si>
  <si>
    <t>비고</t>
    <phoneticPr fontId="8" type="noConversion"/>
  </si>
  <si>
    <t>방충망
(개)</t>
    <phoneticPr fontId="8" type="noConversion"/>
  </si>
  <si>
    <t>코킹재
(개)</t>
    <phoneticPr fontId="8" type="noConversion"/>
  </si>
  <si>
    <t>걸레받이
(m)</t>
    <phoneticPr fontId="8" type="noConversion"/>
  </si>
  <si>
    <t>블라인드
개소당 (5㎡)</t>
    <phoneticPr fontId="8" type="noConversion"/>
  </si>
  <si>
    <t>이보드 13t(m2)</t>
    <phoneticPr fontId="8" type="noConversion"/>
  </si>
  <si>
    <t>열반사 단열재 (m2)</t>
    <phoneticPr fontId="8" type="noConversion"/>
  </si>
  <si>
    <t>석고보드 12.5t(매)</t>
    <phoneticPr fontId="8" type="noConversion"/>
  </si>
  <si>
    <t>8
9</t>
    <phoneticPr fontId="8" type="noConversion"/>
  </si>
  <si>
    <t>206
303</t>
    <phoneticPr fontId="8" type="noConversion"/>
  </si>
  <si>
    <t>뒤베란다 창고 누수점검 및 실리콘 작업 완료
뒤베란다 창고문 철거 완료
화장실 우측방 입구 바닥 평탄작업 완료
화장실문 시트지 보수 1개소 완료</t>
    <phoneticPr fontId="2" type="noConversion"/>
  </si>
  <si>
    <t>9
102</t>
    <phoneticPr fontId="8" type="noConversion"/>
  </si>
  <si>
    <t>303
201</t>
    <phoneticPr fontId="8" type="noConversion"/>
  </si>
  <si>
    <t>화장실문 시트지 보수 1개소 완료
안방 걸레받이 들뜸 보수 완료
문보수1개소 완료
거실 걸레받이 2개소 교체 완료</t>
    <phoneticPr fontId="2" type="noConversion"/>
  </si>
  <si>
    <t xml:space="preserve">
전동 대패날 교체(1set)
(첨부 12)</t>
    <phoneticPr fontId="8" type="noConversion"/>
  </si>
  <si>
    <t xml:space="preserve">A </t>
  </si>
  <si>
    <t>401-6
503-4
504-2
504-5</t>
    <phoneticPr fontId="8" type="noConversion"/>
  </si>
  <si>
    <t>화장실 도어 보수완료
방 도어 보수완료
화장실 도어 , 방 도어보수2개소 완료
화장실 도어 , 방 도어보수2개소 완료</t>
    <phoneticPr fontId="2" type="noConversion"/>
  </si>
  <si>
    <t>문보수용 엣지 
필름 구매(10매)
(첨부 11)</t>
    <phoneticPr fontId="8" type="noConversion"/>
  </si>
  <si>
    <t xml:space="preserve">A 
B </t>
  </si>
  <si>
    <t>703-3
703-4  
902-3</t>
    <phoneticPr fontId="8" type="noConversion"/>
  </si>
  <si>
    <t>화장실 도어 , 방 도어보수2개소 완료
화장실 도어 , 방 도어보수2개소 완료 
방 도어 보수완료</t>
    <phoneticPr fontId="2" type="noConversion"/>
  </si>
  <si>
    <t xml:space="preserve">A 
B 
8 </t>
  </si>
  <si>
    <t>503-4
702-1 
206</t>
    <phoneticPr fontId="8" type="noConversion"/>
  </si>
  <si>
    <t>블라인드 설치 완료
방도어 보수완료
뒤베란다 창고 문틀 설치작업
방충망7개소 완료</t>
    <phoneticPr fontId="2" type="noConversion"/>
  </si>
  <si>
    <t>206
703-4  
902-3</t>
    <phoneticPr fontId="8" type="noConversion"/>
  </si>
  <si>
    <t>뒤베란다 창고문 재설치 완료
방충망7개소 완료 
앞베란다 내.외부 실리콘 제거 및 재시공 완료</t>
    <phoneticPr fontId="2" type="noConversion"/>
  </si>
  <si>
    <t xml:space="preserve">8 
9 </t>
  </si>
  <si>
    <t>501
401  
303</t>
    <phoneticPr fontId="8" type="noConversion"/>
  </si>
  <si>
    <t>현관문 도어 가스켓 교체 완료
현관문 도어 가스켓 교체 완료
방충망 7개소 완료</t>
    <phoneticPr fontId="2" type="noConversion"/>
  </si>
  <si>
    <t xml:space="preserve">방화문 가스켓 구매
(3세대 - 첨부 10)
</t>
    <phoneticPr fontId="8" type="noConversion"/>
  </si>
  <si>
    <t xml:space="preserve">8 
5 </t>
  </si>
  <si>
    <t>503
 501</t>
    <phoneticPr fontId="8" type="noConversion"/>
  </si>
  <si>
    <t>문보수 1개소 완료, 방충망 7개소 완료
뒤베란다 천장 패임 보수 작업 완료
문보수 1개소 완료</t>
    <phoneticPr fontId="2" type="noConversion"/>
  </si>
  <si>
    <t>방충망 3개소 완료
화장실문 시트지 교체 완료
뒤베란다 벽면 및 바닥 크렉보수,실리콘 작업
문보수 1개소 완료</t>
    <phoneticPr fontId="2" type="noConversion"/>
  </si>
  <si>
    <t>걸레받이 파손 2개소 교체 완료
도어보수 2개소 보수완료
안방 문틀 보수 완료
방충망 3개소 교체 완료</t>
    <phoneticPr fontId="2" type="noConversion"/>
  </si>
  <si>
    <t>누수 탐지(미래설비)
대기 인원 (일성건축) 
→ 씽크대 철거,원복 하지 않음</t>
    <phoneticPr fontId="2" type="noConversion"/>
  </si>
  <si>
    <t>방충망 7개소 완료</t>
    <phoneticPr fontId="2" type="noConversion"/>
  </si>
  <si>
    <t>일성건축</t>
    <phoneticPr fontId="8" type="noConversion"/>
  </si>
  <si>
    <t>남해원</t>
    <phoneticPr fontId="8" type="noConversion"/>
  </si>
  <si>
    <t>앞뒤 베란다 천장.벽면 들뜸보수 및 크랙 전체보수
앞뒤 베란다 창고 곰팡이 제거 및 천장 단열작업</t>
    <phoneticPr fontId="8" type="noConversion"/>
  </si>
  <si>
    <t>이보드(23T) 1장, 열반사 단열재 2.5m2</t>
    <phoneticPr fontId="8" type="noConversion"/>
  </si>
  <si>
    <t>A</t>
    <phoneticPr fontId="8" type="noConversion"/>
  </si>
  <si>
    <t>903-4
701-5
503-5
401-3
303-5</t>
    <phoneticPr fontId="8" type="noConversion"/>
  </si>
  <si>
    <t>방 및 화장실 도어 보수
방 도어 보수
방 도어 보수
화장실 도어 보수
방 도어 보수</t>
    <phoneticPr fontId="8" type="noConversion"/>
  </si>
  <si>
    <t>A
B</t>
    <phoneticPr fontId="8" type="noConversion"/>
  </si>
  <si>
    <t>303-5
901-4
704-4</t>
    <phoneticPr fontId="8" type="noConversion"/>
  </si>
  <si>
    <t>화장실 도어 보수
화장실 도어 보수
방 및 화장실 도어 보수
버티컬 설치 완료</t>
    <phoneticPr fontId="8" type="noConversion"/>
  </si>
  <si>
    <t>701-5
702-1
1002-2</t>
    <phoneticPr fontId="8" type="noConversion"/>
  </si>
  <si>
    <t>화장실 우측 석고보드 교체
버티컬 설치 완료
화장실 우측 석고 보드 교체 완료
발코니 창문 우측벽 단열재 들뜸 보수</t>
    <phoneticPr fontId="8" type="noConversion"/>
  </si>
  <si>
    <t>석고보드(12.5T) 2장</t>
    <phoneticPr fontId="8" type="noConversion"/>
  </si>
  <si>
    <t>화장실 좌측방 천장 누수 점검 및 보수
씽크대 상판 전체 실리콘 제거후 재설치 작업</t>
    <phoneticPr fontId="8" type="noConversion"/>
  </si>
  <si>
    <t>걸레받이 8군데 교체 완료
씽크대 상판 실리콘 제거후 재설치 작업
뒤베란다 벽면 크랙 보수 완료
화장실 벽면 모서리 4군데 실리콘 작업</t>
    <phoneticPr fontId="8" type="noConversion"/>
  </si>
  <si>
    <t xml:space="preserve">2
103
</t>
    <phoneticPr fontId="8" type="noConversion"/>
  </si>
  <si>
    <t xml:space="preserve">108
303
</t>
    <phoneticPr fontId="8" type="noConversion"/>
  </si>
  <si>
    <t>안방,작은방 코너 단열작업
화장실 벽타일 보수 완료
걸레받이 2개소 교체 완료
방충망 3개소 완료</t>
    <phoneticPr fontId="8" type="noConversion"/>
  </si>
  <si>
    <t>이보드(13T) 2장, 열반사 단열재 5.0m2</t>
    <phoneticPr fontId="8" type="noConversion"/>
  </si>
  <si>
    <t xml:space="preserve">103
9
2
</t>
    <phoneticPr fontId="8" type="noConversion"/>
  </si>
  <si>
    <t xml:space="preserve">303
304
108
</t>
    <phoneticPr fontId="8" type="noConversion"/>
  </si>
  <si>
    <t>씽크대 상판 실리콘 재코킹 작업 완료
창문 시트지 6개소 제거 완료
방충망 3개소 교체 완료
도어보수 2개소 완료
방충망 4개소 완료
빨래건조대 설치 완료</t>
    <phoneticPr fontId="8" type="noConversion"/>
  </si>
  <si>
    <t>빨래건조대 1개(설비 업체 미지정으로 대응)
(영수증 첨부 9)</t>
    <phoneticPr fontId="8" type="noConversion"/>
  </si>
  <si>
    <t>누수 부분 도배</t>
    <phoneticPr fontId="8" type="noConversion"/>
  </si>
  <si>
    <t>도어 보수2개소 완료
씽크대 상판 실리콘 재코킹 작업 완료
앞베란다 외부샤시 바닥 실리콘 작업 완료
방충망 3개소 완료</t>
    <phoneticPr fontId="8" type="noConversion"/>
  </si>
  <si>
    <t xml:space="preserve">8
103
</t>
    <phoneticPr fontId="8" type="noConversion"/>
  </si>
  <si>
    <t xml:space="preserve">401
204
</t>
    <phoneticPr fontId="8" type="noConversion"/>
  </si>
  <si>
    <t>도어보수 1개소 완료
방충망 2개소 완료 
방충망 1개소 완료
작은방 커텐박스 아티론+이보드 작업 완료
작은방 창문 하단 실리콘 재시공 완료
걸레받이 3개소 교체 완료</t>
    <phoneticPr fontId="8" type="noConversion"/>
  </si>
  <si>
    <t>103
A
A
102</t>
    <phoneticPr fontId="8" type="noConversion"/>
  </si>
  <si>
    <t>204
701-6
303-1
205</t>
    <phoneticPr fontId="8" type="noConversion"/>
  </si>
  <si>
    <t>방충망 3개소 완료
도어보수 1개소 완료
화장실 좌측 석고보드 들뜸 교체 완료
화장실 도어 보수 완료
화장실 도어 보수 완료
씽크대 측판 교체 (이동원)</t>
    <phoneticPr fontId="8" type="noConversion"/>
  </si>
  <si>
    <t>씽크대 측판 교체
 (세금계산서 첨부 8)</t>
    <phoneticPr fontId="8" type="noConversion"/>
  </si>
  <si>
    <t>A
B</t>
    <phoneticPr fontId="8" type="noConversion"/>
  </si>
  <si>
    <t>301-1
1001-3</t>
    <phoneticPr fontId="8" type="noConversion"/>
  </si>
  <si>
    <t>화장실 좌측,우측 석고보드 들뜸보수 2개소 완료
버티컬 교체 완료
벽단열재 들뜸 재시공 완료</t>
    <phoneticPr fontId="8" type="noConversion"/>
  </si>
  <si>
    <t>씽크대 상판 실리콘 재코킹
천장 곰팡이 제거
방충망 5개소 완료
앞뒤 베란다 전체 크랙 보수
화장실문 시트지 재시공</t>
    <phoneticPr fontId="8" type="noConversion"/>
  </si>
  <si>
    <t>기숙사 AB동 문보수용
엣지 필름 구매
(영수증 첨부 7)</t>
    <phoneticPr fontId="8" type="noConversion"/>
  </si>
  <si>
    <t>앞뒤 베란다 전체 크랙 보수 완료
붙박이장 시트지 보수 3개소 완료
도어 보수 3개소 완료</t>
    <phoneticPr fontId="8" type="noConversion"/>
  </si>
  <si>
    <t>문보수용 경첩피스 구매
(영수증 첨부 6)</t>
    <phoneticPr fontId="8" type="noConversion"/>
  </si>
  <si>
    <t>방충망 7개소 완료</t>
    <phoneticPr fontId="8" type="noConversion"/>
  </si>
  <si>
    <t>뒤베란다 창고앞 외부샤시 천장 누수점검 및 실리콘
작업 완료
앞베란다 샤시 천장 실리콘 작업 완료
문보수 3개소 완료(합판들뜸 포함)
씽크대 상판 보수 완료
방충망 4개소 완료</t>
    <phoneticPr fontId="8" type="noConversion"/>
  </si>
  <si>
    <t xml:space="preserve">8
5
</t>
    <phoneticPr fontId="8" type="noConversion"/>
  </si>
  <si>
    <t xml:space="preserve">209
204
</t>
    <phoneticPr fontId="8" type="noConversion"/>
  </si>
  <si>
    <t>방충망 3개소 완료
뒤베란다 창고옆 벽면 창틀 누수점검및 실리콘 작업
앞베란다 외부샤시 하단 실리콘 작업 완료
문보수 2개소 완료
방충망 6개소 완료</t>
    <phoneticPr fontId="8" type="noConversion"/>
  </si>
  <si>
    <t xml:space="preserve">9
7
</t>
    <phoneticPr fontId="8" type="noConversion"/>
  </si>
  <si>
    <t xml:space="preserve">302
405
</t>
    <phoneticPr fontId="8" type="noConversion"/>
  </si>
  <si>
    <t>방충망 3개소 교체 완료
씽크대 상판 실리콘 제거 및 재코킹 작업 완료
앞,뒤 베란다 벽면 크렉 전체 보수 완료
도어 보수1개소 완료
걸레받이 1개소 교체 완료</t>
    <phoneticPr fontId="8" type="noConversion"/>
  </si>
  <si>
    <t xml:space="preserve">101
2
</t>
    <phoneticPr fontId="8" type="noConversion"/>
  </si>
  <si>
    <t xml:space="preserve">204
306
</t>
    <phoneticPr fontId="8" type="noConversion"/>
  </si>
  <si>
    <t>걸레받이 6개소 교체 완료
씽크대 상판 실리콘 제거 및 재코킹 작업 완료
방충망 3개소 교체 완료
방충망 2개소 교체 완료
씽크대 상판 실리콘 제거 및 재코킹 작업 완료</t>
    <phoneticPr fontId="8" type="noConversion"/>
  </si>
  <si>
    <t xml:space="preserve">5
7
8
</t>
    <phoneticPr fontId="8" type="noConversion"/>
  </si>
  <si>
    <t xml:space="preserve">401
504
405
</t>
    <phoneticPr fontId="8" type="noConversion"/>
  </si>
  <si>
    <t>방충망 1개소 교체 완료
뒤베란다 앙카 제거 완료
앞뒤 베란다 천정,벽 크렉 전체 보수 완료
뒤베란다 곰팡이 제거 완료
화장실 벽면 모서리 4군데 실리콘 작업 완료
문보수 2개소 완료
씽크대 상판 실리콘 제거 및 재코킹 작업 완료</t>
    <phoneticPr fontId="8" type="noConversion"/>
  </si>
  <si>
    <t>101
9</t>
    <phoneticPr fontId="8" type="noConversion"/>
  </si>
  <si>
    <t>404
204</t>
    <phoneticPr fontId="8" type="noConversion"/>
  </si>
  <si>
    <t xml:space="preserve">걸레받이 4개소 교체 완료
창문 시트지 6개소 제거 완료
방충망 3개소 교체 완료
도어보수 2개소 완료
방충망 4개소 완료
앞베란다 외부샤시 창문 2개 시트지 제거 완료 </t>
    <phoneticPr fontId="8" type="noConversion"/>
  </si>
  <si>
    <t xml:space="preserve"> 방충망 7개소 완료</t>
    <phoneticPr fontId="8" type="noConversion"/>
  </si>
  <si>
    <t>9
9</t>
    <phoneticPr fontId="8" type="noConversion"/>
  </si>
  <si>
    <t xml:space="preserve">
204
103
</t>
    <phoneticPr fontId="8" type="noConversion"/>
  </si>
  <si>
    <t>문보수 5개소 완료
방충망 3개소 완료</t>
    <phoneticPr fontId="8" type="noConversion"/>
  </si>
  <si>
    <t>9
7
2
5</t>
    <phoneticPr fontId="8" type="noConversion"/>
  </si>
  <si>
    <t>103
105
202
406</t>
    <phoneticPr fontId="8" type="noConversion"/>
  </si>
  <si>
    <t xml:space="preserve"> 방충망 4개소 완료
문보수 1개소 완료
뒤베란다 벽면 크렉보수 완료
씽크대 상판 실리콘 제거 및 재시공 완료
문보수 2개소 완료</t>
    <phoneticPr fontId="8" type="noConversion"/>
  </si>
  <si>
    <t>103
7</t>
    <phoneticPr fontId="8" type="noConversion"/>
  </si>
  <si>
    <t>206
503</t>
    <phoneticPr fontId="8" type="noConversion"/>
  </si>
  <si>
    <t>씽크대 상판 실리콘 제거 및 재코킹 완료
걸레받이 1개소 교체 완료
문보수 2개소 완료
방충망 2개소 완료
문보수 1개소 완료</t>
    <phoneticPr fontId="8" type="noConversion"/>
  </si>
  <si>
    <t>기숙사
7
7
A</t>
    <phoneticPr fontId="8" type="noConversion"/>
  </si>
  <si>
    <t>3동
503
404
702-3</t>
    <phoneticPr fontId="8" type="noConversion"/>
  </si>
  <si>
    <t>계단 창틀 누수보수 공사 완료
문보수 1개소 완료
문보수 1개소 완료
버티컬 제거 및 재설치 완료</t>
    <phoneticPr fontId="8" type="noConversion"/>
  </si>
  <si>
    <t>씽크문 1개 교체 (최해수)</t>
    <phoneticPr fontId="8" type="noConversion"/>
  </si>
  <si>
    <t>세금계산서 (첨부1)</t>
    <phoneticPr fontId="8" type="noConversion"/>
  </si>
  <si>
    <t>2
2</t>
    <phoneticPr fontId="8" type="noConversion"/>
  </si>
  <si>
    <t xml:space="preserve">
1-2
7-8
</t>
    <phoneticPr fontId="8" type="noConversion"/>
  </si>
  <si>
    <t>우편함 철거 및 이동 설치  완료
벽면 도색 작업 완료</t>
    <phoneticPr fontId="8" type="noConversion"/>
  </si>
  <si>
    <t>지하</t>
    <phoneticPr fontId="8" type="noConversion"/>
  </si>
  <si>
    <t>5동 지하주차장 타공 부위 구멍 메꿈</t>
    <phoneticPr fontId="8" type="noConversion"/>
  </si>
  <si>
    <t>방화폼 5개(첨부2)</t>
    <phoneticPr fontId="8" type="noConversion"/>
  </si>
  <si>
    <t xml:space="preserve">
310
105
</t>
    <phoneticPr fontId="8" type="noConversion"/>
  </si>
  <si>
    <t>뒷베란다 창틀 누수보수 작업 완료
뒷베란다 창틀 누수보수 작업 완료</t>
    <phoneticPr fontId="8" type="noConversion"/>
  </si>
  <si>
    <t>주차장 타공 부위 구멍 메꿈 시멘트 작업 및 페인트</t>
    <phoneticPr fontId="8" type="noConversion"/>
  </si>
  <si>
    <t>5
102</t>
    <phoneticPr fontId="8" type="noConversion"/>
  </si>
  <si>
    <t xml:space="preserve">
지하
506
</t>
    <phoneticPr fontId="8" type="noConversion"/>
  </si>
  <si>
    <t>주차장 타공 부위 구멍 메꿈 시멘트 작업 및 페인트
씽크대 상판 실리콘 제거 및 재시공 완료</t>
    <phoneticPr fontId="8" type="noConversion"/>
  </si>
  <si>
    <t>방화실리콘 2개(첨부3)
강화몰탈 1통
방화패드 1매(첨부4)</t>
    <phoneticPr fontId="8" type="noConversion"/>
  </si>
  <si>
    <t xml:space="preserve"> 걸레받이 5개소 교체 완료
거실 외부샤시 벽면 단열재 들뜸 보수 완료
문보수 2개소 완료
방충망 3개소 완료</t>
    <phoneticPr fontId="8" type="noConversion"/>
  </si>
  <si>
    <t>5
5</t>
    <phoneticPr fontId="8" type="noConversion"/>
  </si>
  <si>
    <t>105
504</t>
    <phoneticPr fontId="8" type="noConversion"/>
  </si>
  <si>
    <t>씽크대 상판 실리콘 제거 및 재코킹 완료
앞,뒤 베란다 창측 벽면 누수 점검 및 보수 완료
방충망 4개소 교체 완료
씽크대 상판 실리콘 제거 및 재시공 완료
문보수 1개소 완료
걸레받이 1개소 교체 완료</t>
    <phoneticPr fontId="8" type="noConversion"/>
  </si>
  <si>
    <t>2
2
5</t>
    <phoneticPr fontId="8" type="noConversion"/>
  </si>
  <si>
    <t>408
305
105</t>
    <phoneticPr fontId="8" type="noConversion"/>
  </si>
  <si>
    <t>거실 좌측방 벽면 단열 작업 완료
뒤베란다 벽면 크렉 전체 보수 완료
걸레받이 1개소 완료
씽크대 상판 실리콘 제거 및 재코킹 작업 완료
씽크대 상판 실리콘 제거 및 재코킹 작업 완료
방충망 3개소 교체 완료</t>
    <phoneticPr fontId="8" type="noConversion"/>
  </si>
  <si>
    <t>102
103</t>
    <phoneticPr fontId="8" type="noConversion"/>
  </si>
  <si>
    <t>402
201</t>
    <phoneticPr fontId="8" type="noConversion"/>
  </si>
  <si>
    <t>걸레받이 5개소 교체 완료
문보수 2개소 완료
방충망 1개소 완료
걸레받이 3개소 교체 완료
방충망 3개소 교체 완료
문보수 1개소 완료</t>
    <phoneticPr fontId="8" type="noConversion"/>
  </si>
  <si>
    <t>103
2</t>
    <phoneticPr fontId="8" type="noConversion"/>
  </si>
  <si>
    <t>201
408</t>
    <phoneticPr fontId="8" type="noConversion"/>
  </si>
  <si>
    <t>문보수 4개소 완료
씽크대 상판 실리콘 제거 및 재코킹 작업 완료
씽크대 가스레인지 좌우측 시트지 교체 작업 완료
방충망 2개소 완료</t>
    <phoneticPr fontId="8" type="noConversion"/>
  </si>
  <si>
    <t>9
7
2
7</t>
    <phoneticPr fontId="8" type="noConversion"/>
  </si>
  <si>
    <t>506
202
305
301</t>
    <phoneticPr fontId="8" type="noConversion"/>
  </si>
  <si>
    <t>뒤베란다 좌측벽면 가스배관 틈새 막음 작업 완료
뒤베란다 우측벽면 앙카볼트 구멍 실리콘 메움 작업
씽크대 상판 실리콘 제거 및 재코킹 작업 완료
문보수 3개소 완료
씽크대 상판 실리콘 제거 및 재코킹 작업 완료 
문보수 1개소 완료
방충망 3개소 완료
문보수 1개소 완료</t>
    <phoneticPr fontId="8" type="noConversion"/>
  </si>
  <si>
    <t>7
A
A
B</t>
    <phoneticPr fontId="8" type="noConversion"/>
  </si>
  <si>
    <t>301
1001-4
501-6
703-6</t>
    <phoneticPr fontId="8" type="noConversion"/>
  </si>
  <si>
    <t>문보수 2개소 완료
씽크대 상판 실리콘 제거 및 재시공 완료
문보수 1개소 완료
문보수 1개소 완료
문보수 1개소 완료</t>
    <phoneticPr fontId="8" type="noConversion"/>
  </si>
  <si>
    <t>방충망 5개소 완료</t>
    <phoneticPr fontId="8" type="noConversion"/>
  </si>
  <si>
    <t>2
9</t>
    <phoneticPr fontId="8" type="noConversion"/>
  </si>
  <si>
    <t xml:space="preserve">
1-8
1-6
</t>
    <phoneticPr fontId="8" type="noConversion"/>
  </si>
  <si>
    <t>우편함 이동 설치  완료
우편함 이동 설치  완료</t>
    <phoneticPr fontId="8" type="noConversion"/>
  </si>
  <si>
    <t>우편함 이전설치 페인트 작업</t>
    <phoneticPr fontId="8" type="noConversion"/>
  </si>
  <si>
    <t xml:space="preserve"> 입구</t>
    <phoneticPr fontId="8" type="noConversion"/>
  </si>
  <si>
    <t xml:space="preserve"> 보도블럭 수리 (김용칠)</t>
    <phoneticPr fontId="8" type="noConversion"/>
  </si>
  <si>
    <t>견적 처리</t>
    <phoneticPr fontId="8" type="noConversion"/>
  </si>
  <si>
    <t xml:space="preserve"> 보도블럭 수리 (김용칠,구진회)</t>
    <phoneticPr fontId="8" type="noConversion"/>
  </si>
  <si>
    <t>AB동</t>
    <phoneticPr fontId="8" type="noConversion"/>
  </si>
  <si>
    <t>10층</t>
    <phoneticPr fontId="8" type="noConversion"/>
  </si>
  <si>
    <t>외부 베란다 난간 외벽 크랙 보수(구진회)</t>
    <phoneticPr fontId="8" type="noConversion"/>
  </si>
  <si>
    <t xml:space="preserve"> 외부 베란다 자재 양중 (김용칠 , 구진회)</t>
    <phoneticPr fontId="8" type="noConversion"/>
  </si>
  <si>
    <t>8
7</t>
    <phoneticPr fontId="8" type="noConversion"/>
  </si>
  <si>
    <t>503
408</t>
    <phoneticPr fontId="8" type="noConversion"/>
  </si>
  <si>
    <t xml:space="preserve">문보수 4개소 완료
방충망 3개소 완료
문보수 1개소 완료 </t>
    <phoneticPr fontId="8" type="noConversion"/>
  </si>
  <si>
    <t>7
5
2</t>
    <phoneticPr fontId="8" type="noConversion"/>
  </si>
  <si>
    <t xml:space="preserve">408
101
304
</t>
    <phoneticPr fontId="8" type="noConversion"/>
  </si>
  <si>
    <t>뒤베란다 크랙 보수 완료
씽크대 상판 실리콘 제거 및 재코킹 작업 완료
씽크대 상판 실리콘 제거 및 재코킹 작업 완료
방충망 2개소 완료
걸레받이 6개소 교체 완료
뒤베란다 크랙 보수 완료</t>
    <phoneticPr fontId="8" type="noConversion"/>
  </si>
  <si>
    <t xml:space="preserve">2
8
102
</t>
    <phoneticPr fontId="8" type="noConversion"/>
  </si>
  <si>
    <t xml:space="preserve">304
505
206
</t>
    <phoneticPr fontId="8" type="noConversion"/>
  </si>
  <si>
    <t>문보수 2개소 완료
방충망 2개소 완료
방충망 1개소 완료
걸레받이 6개소 교체 완료
문보수 1개소 완료</t>
    <phoneticPr fontId="8" type="noConversion"/>
  </si>
  <si>
    <t>씽크대 상판 실리콘 제거 및 재코킹 작업 완료
방충망 4개소 교체 완료
방충망 4개소 교체 완료
방충망 3개소 교체 완료
걸레받이 1개소 교체 완
씽크대 상판 실리콘 제거 및 재코킹 작업 완료
방충망 3개소 교체 완료</t>
    <phoneticPr fontId="8" type="noConversion"/>
  </si>
  <si>
    <t>옆</t>
    <phoneticPr fontId="8" type="noConversion"/>
  </si>
  <si>
    <t xml:space="preserve"> 자전거 거치대 보수 (구진회, 김용칠)</t>
    <phoneticPr fontId="8" type="noConversion"/>
  </si>
  <si>
    <t>견적처리</t>
    <phoneticPr fontId="8" type="noConversion"/>
  </si>
  <si>
    <t>몰탈시멘트 2포(첨부5)</t>
    <phoneticPr fontId="8" type="noConversion"/>
  </si>
  <si>
    <t>전면</t>
    <phoneticPr fontId="8" type="noConversion"/>
  </si>
  <si>
    <t xml:space="preserve"> 유도봉 설치 작업 (구진회, 김용칠)</t>
    <phoneticPr fontId="8" type="noConversion"/>
  </si>
  <si>
    <t xml:space="preserve">폭스비트 1개 </t>
    <phoneticPr fontId="8" type="noConversion"/>
  </si>
  <si>
    <t>9
기숙사B</t>
    <phoneticPr fontId="8" type="noConversion"/>
  </si>
  <si>
    <t>전면
10층</t>
    <phoneticPr fontId="8" type="noConversion"/>
  </si>
  <si>
    <t xml:space="preserve"> 유도봉 설치 작업 (김용칠)
기숙사 B동 10층 외부 베란다 도장</t>
    <phoneticPr fontId="8" type="noConversion"/>
  </si>
  <si>
    <t>9
1</t>
    <phoneticPr fontId="8" type="noConversion"/>
  </si>
  <si>
    <t>전면
옆면</t>
    <phoneticPr fontId="8" type="noConversion"/>
  </si>
  <si>
    <t>유도봉 구멍 메우기 작업 완료(김용칠)
자전거 거치대 보수 완료</t>
    <phoneticPr fontId="8" type="noConversion"/>
  </si>
  <si>
    <t>5
2</t>
    <phoneticPr fontId="8" type="noConversion"/>
  </si>
  <si>
    <t>403
403</t>
    <phoneticPr fontId="8" type="noConversion"/>
  </si>
  <si>
    <t>문보수 3개소 완료
씽크대 상단 실리콘 제거 및 재시공 완료
방충망 3개소 교체 완료
&lt;긴급&gt; 문보수1개소 보수중(입주세대)</t>
    <phoneticPr fontId="8" type="noConversion"/>
  </si>
  <si>
    <t>2
7
2</t>
    <phoneticPr fontId="8" type="noConversion"/>
  </si>
  <si>
    <t>103
207
403</t>
    <phoneticPr fontId="8" type="noConversion"/>
  </si>
  <si>
    <t>뒤베란다 벽면 크랙 보수 완료
문보수 1개소 완료
씽크대 상판 실리콘 제거 및 재시공 완료
방충망 1개소 완료
앞베란다 벽면 크랙 보수 완료
씽크대 상판 실리콘 제거 및 재시공 완료
문보수 2개소 완료
&lt;긴급&gt; 문보수1개소 보수 완료(입주세대)</t>
    <phoneticPr fontId="8" type="noConversion"/>
  </si>
  <si>
    <t>5-6라인</t>
    <phoneticPr fontId="8" type="noConversion"/>
  </si>
  <si>
    <t xml:space="preserve"> 보도 블록 및 화단 보수</t>
    <phoneticPr fontId="8" type="noConversion"/>
  </si>
  <si>
    <t>베란다 누수 보수</t>
    <phoneticPr fontId="8" type="noConversion"/>
  </si>
  <si>
    <t>옆면</t>
    <phoneticPr fontId="8" type="noConversion"/>
  </si>
  <si>
    <t>자전거 거치대 작업(비닐 커튼 설치)-2명</t>
    <phoneticPr fontId="8" type="noConversion"/>
  </si>
  <si>
    <t>비닐커튼 (첨부13)</t>
    <phoneticPr fontId="8" type="noConversion"/>
  </si>
  <si>
    <t>자전거 거치대 작업(비닐 커튼 설치)-3명</t>
    <phoneticPr fontId="8" type="noConversion"/>
  </si>
  <si>
    <t>부자재 (첨부14)</t>
    <phoneticPr fontId="8" type="noConversion"/>
  </si>
  <si>
    <t>앞베란다 도장 작업 (입주세대)</t>
    <phoneticPr fontId="8" type="noConversion"/>
  </si>
  <si>
    <t>자전거 거치대 작업 및 청소(이정민,구진회)</t>
    <phoneticPr fontId="8" type="noConversion"/>
  </si>
  <si>
    <t>문보수 3개소 완료
걸레받이 3개소 교체완료
문틀 시트지 보수 완료
외부샤시 창문 시트지 제거 완료</t>
    <phoneticPr fontId="8" type="noConversion"/>
  </si>
  <si>
    <t>101
101
103</t>
    <phoneticPr fontId="8" type="noConversion"/>
  </si>
  <si>
    <t>101
303
403</t>
    <phoneticPr fontId="8" type="noConversion"/>
  </si>
  <si>
    <t>문보수 1개소 완료
걸레받이 8개소 교체완료
문보수1개소 완료</t>
    <phoneticPr fontId="8" type="noConversion"/>
  </si>
  <si>
    <t>101
102
103
103</t>
    <phoneticPr fontId="8" type="noConversion"/>
  </si>
  <si>
    <t xml:space="preserve"> 103
403
306
404</t>
    <phoneticPr fontId="8" type="noConversion"/>
  </si>
  <si>
    <t>방충망 4개소 완료
방충망 2개소 완료
방충망 3개소 완료
방충망 4개소 완료</t>
    <phoneticPr fontId="8" type="noConversion"/>
  </si>
  <si>
    <t>101
103
7
9
9</t>
    <phoneticPr fontId="8" type="noConversion"/>
  </si>
  <si>
    <t xml:space="preserve"> 303
404
407
101
202</t>
    <phoneticPr fontId="8" type="noConversion"/>
  </si>
  <si>
    <t>방화문 보수 완료
걸레받이 3개소 교체 완료 , 문보수 2개소 보수 완료
씽크대 상판 실리콘제거및 재코킹, 문보수1개소 완료
뒤베란다 벽면 크렉 보수 완료
방충망 7개소 완료
방충망 7개소 완료</t>
    <phoneticPr fontId="8" type="noConversion"/>
  </si>
  <si>
    <t>전기 대패날 교체
(첨부 15 )</t>
    <phoneticPr fontId="8" type="noConversion"/>
  </si>
  <si>
    <t>방충망 7개소 교체 완료</t>
    <phoneticPr fontId="8" type="noConversion"/>
  </si>
  <si>
    <t>9
9
9</t>
    <phoneticPr fontId="8" type="noConversion"/>
  </si>
  <si>
    <t xml:space="preserve"> 502
202
101</t>
    <phoneticPr fontId="8" type="noConversion"/>
  </si>
  <si>
    <t>화장실 좌측방 천정 누수점검 및 보수 완료
뒤베란다 좌측,우측 벽면 구멍메움 작업 완료
문보수 1개소 보수 완료
씽크대 상판 실리콘 제거 및 재코킹 작업 완료
문보수 2개소 보수 완료</t>
    <phoneticPr fontId="8" type="noConversion"/>
  </si>
  <si>
    <t>연구
단지</t>
    <phoneticPr fontId="8" type="noConversion"/>
  </si>
  <si>
    <t>폐기물
보관소</t>
    <phoneticPr fontId="8" type="noConversion"/>
  </si>
  <si>
    <t>사택 보일러 이동(사택에서 연구소로 이동)</t>
    <phoneticPr fontId="8" type="noConversion"/>
  </si>
  <si>
    <t>관리소
서명 없음</t>
    <phoneticPr fontId="8" type="noConversion"/>
  </si>
  <si>
    <t>씽크문 1개 교체</t>
    <phoneticPr fontId="8" type="noConversion"/>
  </si>
  <si>
    <t>세금계산서 첨부1</t>
    <phoneticPr fontId="8" type="noConversion"/>
  </si>
  <si>
    <t xml:space="preserve">7
101
</t>
    <phoneticPr fontId="8" type="noConversion"/>
  </si>
  <si>
    <t xml:space="preserve">307
102
</t>
    <phoneticPr fontId="8" type="noConversion"/>
  </si>
  <si>
    <t>뒤베란다 벽면 크렉보수 완료
문보수 3개소 보수완료
씽크대 상판 실리콘 제거 및 재코킹 작업 완료
걸레받이 2개소 교체 완료
방충망 3개소 교체 완료</t>
    <phoneticPr fontId="8" type="noConversion"/>
  </si>
  <si>
    <t xml:space="preserve">101
102
</t>
    <phoneticPr fontId="8" type="noConversion"/>
  </si>
  <si>
    <t xml:space="preserve">402
406
</t>
    <phoneticPr fontId="8"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</si>
  <si>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8" type="noConversion"/>
  </si>
  <si>
    <t>씽크대 상판 실리콘 제거 및 재코킹 작업 완료
문보수 3개소 보수완료
창문측 벽면 단열재 뜰뜸4곳(거실,방3개 보수작업완료)
방충망 3개소 교체 완료</t>
    <phoneticPr fontId="8" type="noConversion"/>
  </si>
  <si>
    <t>103
2
2
102</t>
    <phoneticPr fontId="8" type="noConversion"/>
  </si>
  <si>
    <t>205
302
205
503</t>
    <phoneticPr fontId="8" type="noConversion"/>
  </si>
  <si>
    <t>방충망 2개소 교체 완료
앞,뒤 베란다 크랙보수 완료
문보수 1개소 보수완료
씽크대 상판 실리콘 제거 및 재코킹 작업 완료
문보수 2개소 보수완료</t>
    <phoneticPr fontId="8" type="noConversion"/>
  </si>
  <si>
    <t>102
2
8
2</t>
    <phoneticPr fontId="8" type="noConversion"/>
  </si>
  <si>
    <t>406
302
205
206</t>
    <phoneticPr fontId="8" type="noConversion"/>
  </si>
  <si>
    <t>방충망 3개소 교체 완료
방충망 5개소 교체 완료
방충망 6개소 교체 완료
방충망 5개소 교체 완료</t>
    <phoneticPr fontId="8" type="noConversion"/>
  </si>
  <si>
    <t>문보수 4개소 보수완료
걸레받이 7개소 교체 완료
씽크대 상판 실리콘 제거 및 재코킹 작업 완료
거실 우측 방문 파손 보수 완료
방충망 3개소 교체 완료</t>
    <phoneticPr fontId="8" type="noConversion"/>
  </si>
  <si>
    <t>103
8
102</t>
    <phoneticPr fontId="8" type="noConversion"/>
  </si>
  <si>
    <t>301
506
501</t>
    <phoneticPr fontId="8" type="noConversion"/>
  </si>
  <si>
    <t xml:space="preserve"> 방충망 3개소 교체 완료
 방충망 7개소 교체 완료
 방충망 2개소 교체 완료</t>
    <phoneticPr fontId="8" type="noConversion"/>
  </si>
  <si>
    <t xml:space="preserve">102
103
</t>
    <phoneticPr fontId="8" type="noConversion"/>
  </si>
  <si>
    <t xml:space="preserve">501
301
</t>
    <phoneticPr fontId="8" type="noConversion"/>
  </si>
  <si>
    <t>걸레받이 4개소 교체 완료
낙서 및 얼룩제거 완료(붙박이장,방문)
문보수3개소 보수 완료
걸레받이 1개소 교체 완료
씽크대 상판 실리콘 제거 및 재코킹 작업 완료</t>
    <phoneticPr fontId="8" type="noConversion"/>
  </si>
  <si>
    <t>301
403</t>
    <phoneticPr fontId="8" type="noConversion"/>
  </si>
  <si>
    <t>문보수 4개소 보수완료
문보수 3개소 보수완료</t>
    <phoneticPr fontId="8" type="noConversion"/>
  </si>
  <si>
    <t>103
103</t>
    <phoneticPr fontId="8" type="noConversion"/>
  </si>
  <si>
    <t>103
405</t>
    <phoneticPr fontId="8" type="noConversion"/>
  </si>
  <si>
    <t>문보수 2개소 보수완료
문바닥틀 시트지 교체 완료
걸레받이 3개소 교체 완료
화장실 타일 보수 완료
문보수 4개소 보수 완료</t>
    <phoneticPr fontId="8" type="noConversion"/>
  </si>
  <si>
    <t>103
A</t>
    <phoneticPr fontId="8" type="noConversion"/>
  </si>
  <si>
    <t>105
802-3</t>
    <phoneticPr fontId="8" type="noConversion"/>
  </si>
  <si>
    <t xml:space="preserve"> 걸레받이 10개소 교체 완료
 씽크대 상판 실리콘 제거 및 재코킹 작업 완료
 벽면 단열재 들뜸 보수 완료</t>
    <phoneticPr fontId="8" type="noConversion"/>
  </si>
  <si>
    <t xml:space="preserve">103
A
</t>
    <phoneticPr fontId="8" type="noConversion"/>
  </si>
  <si>
    <t>105
1002-3
804-2
803-4</t>
    <phoneticPr fontId="8" type="noConversion"/>
  </si>
  <si>
    <t>문보수 2개소 보수 완료
버티컬 철거 및 교체 완료
버티컬 철거 및 교체 완료
버티컬 철거 및 교체 완료</t>
    <phoneticPr fontId="8" type="noConversion"/>
  </si>
  <si>
    <t>1002-5
1002-3
803-4
802-3
802-5
801-3</t>
    <phoneticPr fontId="8" type="noConversion"/>
  </si>
  <si>
    <t>단열재 들뜸 보수완료
문보수 1개소 보수완료
문보수 2개소 보수완료
문보수 1개소 보수완료
문보수 1개소 보수완료
문보수 1개소 보수완료</t>
    <phoneticPr fontId="8" type="noConversion"/>
  </si>
  <si>
    <t>A
103</t>
    <phoneticPr fontId="8" type="noConversion"/>
  </si>
  <si>
    <t>801-3
702-5
604-1
602-5
601-5
601-6
105</t>
    <phoneticPr fontId="8" type="noConversion"/>
  </si>
  <si>
    <t>문보수 1개소 보수완료
문보수 1개소 보수완료
문보수 2개소 보수완료
문보수 2개소 보수완료
문보수 1개소 보수완료
문보수 1개소 보수완료
방충망 3개소 교체 완료</t>
    <phoneticPr fontId="8" type="noConversion"/>
  </si>
  <si>
    <t xml:space="preserve">2
7
A
</t>
    <phoneticPr fontId="8" type="noConversion"/>
  </si>
  <si>
    <t>401
102
504-6
404-6
403-4
401-1
304-1
204-2</t>
    <phoneticPr fontId="8"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</si>
  <si>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8" type="noConversion"/>
  </si>
  <si>
    <t>2
7</t>
    <phoneticPr fontId="8" type="noConversion"/>
  </si>
  <si>
    <t>401
402</t>
    <phoneticPr fontId="8" type="noConversion"/>
  </si>
  <si>
    <t>걸레받이 도장 및 부분 재도장
베란다 걸레 받이 도장 , 벽체 부분 보수 도장</t>
    <phoneticPr fontId="8" type="noConversion"/>
  </si>
  <si>
    <t>A
B</t>
    <phoneticPr fontId="8" type="noConversion"/>
  </si>
  <si>
    <t>802-1
604-1
602-5
601-6
601-5
403-3
401-1
601-5</t>
    <phoneticPr fontId="8"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</si>
  <si>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8" type="noConversion"/>
  </si>
  <si>
    <t>3
A</t>
    <phoneticPr fontId="8" type="noConversion"/>
  </si>
  <si>
    <t>텃밭
403</t>
    <phoneticPr fontId="8" type="noConversion"/>
  </si>
  <si>
    <t>보도 블록 점검
화장실 타일 보수 작업중</t>
    <phoneticPr fontId="8" type="noConversion"/>
  </si>
  <si>
    <t xml:space="preserve">2
3
A
</t>
    <phoneticPr fontId="8" type="noConversion"/>
  </si>
  <si>
    <t>401
텃밭
1002-5
1002-3
404-6</t>
    <phoneticPr fontId="8" type="noConversion"/>
  </si>
  <si>
    <t>벽체 단열재 들뜸 보수 완료
보도 블록 보수 작업 완료
화장실 바닥 타일 부분 교체중
화장실 바닥 타일 부분 교체중
화장실 바닥 타일 부분 교체중</t>
    <phoneticPr fontId="8" type="noConversion"/>
  </si>
  <si>
    <t>5
9</t>
    <phoneticPr fontId="8" type="noConversion"/>
  </si>
  <si>
    <t>106
505
405</t>
    <phoneticPr fontId="8" type="noConversion"/>
  </si>
  <si>
    <t xml:space="preserve"> 방충망 1개소 교체 완료
 방충망 5개소 교체 완료
 방충망 6개소 교체 완료</t>
    <phoneticPr fontId="8" type="noConversion"/>
  </si>
  <si>
    <t>5
2
103</t>
    <phoneticPr fontId="8" type="noConversion"/>
  </si>
  <si>
    <t>206
401
102
302</t>
    <phoneticPr fontId="8" type="noConversion"/>
  </si>
  <si>
    <t>방충망 7개소 교체 완료
방충망 5개소 교체 완료
방충망 2개소 교체 완료
방충망 3개소 교체 완료</t>
    <phoneticPr fontId="8" type="noConversion"/>
  </si>
  <si>
    <t>B
A
5</t>
    <phoneticPr fontId="8" type="noConversion"/>
  </si>
  <si>
    <t xml:space="preserve"> 903-1
804-1
803-3
801-2
702-5
604-1
1002-3
1002-5
404-6
206</t>
    <phoneticPr fontId="8"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</si>
  <si>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8" type="noConversion"/>
  </si>
  <si>
    <t>2
5
5
2</t>
    <phoneticPr fontId="8" type="noConversion"/>
  </si>
  <si>
    <t>401
206
106
102</t>
    <phoneticPr fontId="8" type="noConversion"/>
  </si>
  <si>
    <t>씽크대 상판 실리콘 제거 및 재코킹 작업 완료
뒤베란다 창고옆 누수점검 및 보수작업 완료
씽크대 상판 실리콘 제거 및 재코킹 작업 완료
뒤베란다 창고옆 누수점검 및 보수작업 완료
신발장 시트지 교체 작업
방충망 3개소 교체 완료</t>
    <phoneticPr fontId="8" type="noConversion"/>
  </si>
  <si>
    <t>신발장 시트지 2㎡</t>
    <phoneticPr fontId="8" type="noConversion"/>
  </si>
  <si>
    <t xml:space="preserve">102
202
</t>
    <phoneticPr fontId="8" type="noConversion"/>
  </si>
  <si>
    <t>앞,뒤 베란다 크랙보수 완료
거실 좌측방 붙박이장 옆벽 단열재 들뜸 재시공 완료
문보수 2개소 완료
방충망 1개소 교체 완료</t>
    <phoneticPr fontId="8" type="noConversion"/>
  </si>
  <si>
    <t>102
508</t>
    <phoneticPr fontId="8" type="noConversion"/>
  </si>
  <si>
    <t>문 ,문틀 , 방화문 도장 작업
뒤베란다 창고벽면 부분 도색 작업</t>
    <phoneticPr fontId="8" type="noConversion"/>
  </si>
  <si>
    <t>202
203
302</t>
    <phoneticPr fontId="8" type="noConversion"/>
  </si>
  <si>
    <t>걸레받이 10개소 교체 완료
방충망 3개소 교체 완료
걸레받이 13개소 교체 중</t>
    <phoneticPr fontId="8" type="noConversion"/>
  </si>
  <si>
    <t>103
101
8</t>
    <phoneticPr fontId="8" type="noConversion"/>
  </si>
  <si>
    <t>302
203
204</t>
    <phoneticPr fontId="8" type="noConversion"/>
  </si>
  <si>
    <t>걸레받이 13개소 교체 완료
걸레받이 7개소 교체중
방충망 3개소 교체 완료</t>
    <phoneticPr fontId="8" type="noConversion"/>
  </si>
  <si>
    <t>103
101
9</t>
    <phoneticPr fontId="8" type="noConversion"/>
  </si>
  <si>
    <t>202
203
405</t>
    <phoneticPr fontId="8" type="noConversion"/>
  </si>
  <si>
    <t>씽크대 상판 실리콘 제거 및 재코킹 작업
걸레받이 7개소 교체 완료
방화문 보수 완료</t>
    <phoneticPr fontId="8" type="noConversion"/>
  </si>
  <si>
    <t>8
103</t>
    <phoneticPr fontId="8" type="noConversion"/>
  </si>
  <si>
    <t>204
103</t>
    <phoneticPr fontId="8" type="noConversion"/>
  </si>
  <si>
    <t>방충망 4개소 교체 완료
가스렌지장 대리석 교체 및 장 재설치</t>
    <phoneticPr fontId="8" type="noConversion"/>
  </si>
  <si>
    <t>세금계산서 첨부2</t>
    <phoneticPr fontId="8" type="noConversion"/>
  </si>
  <si>
    <t xml:space="preserve">101
101
</t>
    <phoneticPr fontId="8" type="noConversion"/>
  </si>
  <si>
    <t xml:space="preserve">104
202
</t>
    <phoneticPr fontId="8" type="noConversion"/>
  </si>
  <si>
    <t>씽크대 상판 실리콘 제거 및 재코킹 작업
주방 좌측방 걸레받이 뜰뜸보수 및 이보드 뜰뜸 보수
문보수 1개소 완료
씽크대 상판 실리콘 제거 및 재코킹 작업
문보수 1개소 완료
방충망 1개소 교체 완료</t>
    <phoneticPr fontId="8" type="noConversion"/>
  </si>
  <si>
    <t>2
8</t>
    <phoneticPr fontId="8" type="noConversion"/>
  </si>
  <si>
    <t>208
410</t>
    <phoneticPr fontId="8" type="noConversion"/>
  </si>
  <si>
    <t>주방 , 거실 걸레받이 전체 철거 및 교체 작업 
방충망 3개소 교체 완료</t>
    <phoneticPr fontId="8" type="noConversion"/>
  </si>
  <si>
    <t xml:space="preserve">2
103
</t>
    <phoneticPr fontId="8" type="noConversion"/>
  </si>
  <si>
    <t xml:space="preserve">208
106
</t>
    <phoneticPr fontId="8" type="noConversion"/>
  </si>
  <si>
    <t>주방,거실 걸레받이 전체 철거 및 교체 작업 완료
씽크대 상판 실리콘 제거 및 재코킹 작업
방충망 1개소 교체 완료
걸레받이 1개소 교체 완료
씽크대 상판 실리콘 제거 및 재코킹 작업
문보수 1개소 완료</t>
    <phoneticPr fontId="8" type="noConversion"/>
  </si>
  <si>
    <t xml:space="preserve">103
103
</t>
    <phoneticPr fontId="8" type="noConversion"/>
  </si>
  <si>
    <t xml:space="preserve">405
102
</t>
    <phoneticPr fontId="8" type="noConversion"/>
  </si>
  <si>
    <t>단열재 탈락 보수 완료 (입주세대)
도배 (한명석)
씽크대 상판 실리콘 제거 및 재코킹 작업
걸레받이 4개소 교체 완료
문보수 1개소 완료
방충망 3개소 교체 완료</t>
    <phoneticPr fontId="8" type="noConversion"/>
  </si>
  <si>
    <t>8
2
7</t>
    <phoneticPr fontId="8" type="noConversion"/>
  </si>
  <si>
    <t>410
208
201</t>
    <phoneticPr fontId="8" type="noConversion"/>
  </si>
  <si>
    <t>방충망 4개소 교체 완료
문, 문틀 뒤베란다 벽 부분 ,방화문 , 걸레받이 도장
앞,뒤 베란다 걸레받이 , 벽면 ,천장 부분 도장</t>
    <phoneticPr fontId="8" type="noConversion"/>
  </si>
  <si>
    <t>거실 천장 부분 도배 (입주세대)</t>
    <phoneticPr fontId="8" type="noConversion"/>
  </si>
  <si>
    <t>텃밭</t>
    <phoneticPr fontId="8" type="noConversion"/>
  </si>
  <si>
    <t>어린이텃밭 울타리 제거
방부목 실측 및 자재구입
방부목 제단 작업</t>
    <phoneticPr fontId="8" type="noConversion"/>
  </si>
  <si>
    <t>세금계산서 첨부 3,4
(3. 부자재 구매)
(4. 폐기물 처리)</t>
    <phoneticPr fontId="8" type="noConversion"/>
  </si>
  <si>
    <t>텃밭 기둥 작업중
3동 좌측 출입구 계단 보수 작업</t>
    <phoneticPr fontId="8" type="noConversion"/>
  </si>
  <si>
    <t>세금계산서 첨부 14
(기초 몰탈)</t>
    <phoneticPr fontId="8" type="noConversion"/>
  </si>
  <si>
    <t>거실 천장 도배
안방 천장 도배 (한명석, 이귀주)</t>
    <phoneticPr fontId="8" type="noConversion"/>
  </si>
  <si>
    <t xml:space="preserve">A
A
</t>
    <phoneticPr fontId="8" type="noConversion"/>
  </si>
  <si>
    <t xml:space="preserve">202-4
202
</t>
    <phoneticPr fontId="8" type="noConversion"/>
  </si>
  <si>
    <t>문보수 1개소 보수 완료
화장실 바닥 유가 2개소  완료
화장실 바닥 유가 1개소 파손 교체 완료
바닥 타일 부분 교체 완료</t>
    <phoneticPr fontId="8" type="noConversion"/>
  </si>
  <si>
    <t>세금계산서 첨부 5
(에폭시 본드)</t>
    <phoneticPr fontId="8" type="noConversion"/>
  </si>
  <si>
    <t xml:space="preserve">A
A
2
8
</t>
    <phoneticPr fontId="8" type="noConversion"/>
  </si>
  <si>
    <t xml:space="preserve">202-5
204-3
103
203
</t>
    <phoneticPr fontId="8" type="noConversion"/>
  </si>
  <si>
    <t>화장실 바닥 유가 1개소 파손 교체 완료
화장실 바닥 유가 파손 및 보수2개소  교체 완료
문보수 1개소 보수 완료
문보수 1개소 보수 완료
씽크대 상판 실리콘 제거 및 재코킹 작업 완료
방충망 3개소 교체 완료</t>
    <phoneticPr fontId="8" type="noConversion"/>
  </si>
  <si>
    <t>세금계산서 첨부 6
(UBR 배수구)</t>
    <phoneticPr fontId="8" type="noConversion"/>
  </si>
  <si>
    <t xml:space="preserve">8
8
9
7
</t>
    <phoneticPr fontId="8" type="noConversion"/>
  </si>
  <si>
    <t xml:space="preserve">408
308
506
108
</t>
    <phoneticPr fontId="8" type="noConversion"/>
  </si>
  <si>
    <t>문보수 2개소 보수 완료
방충망 1개소 교체 완료
화장실 좌측방 창가옆 단열작업 완료 
씽크대 상판 실리콘 제거 및 재코킹 작업 완료
뒤베란다 벽면 크렉보수 완료</t>
    <phoneticPr fontId="8" type="noConversion"/>
  </si>
  <si>
    <t xml:space="preserve">텃밭 울타리 작업 </t>
    <phoneticPr fontId="8" type="noConversion"/>
  </si>
  <si>
    <t>8
3</t>
    <phoneticPr fontId="8" type="noConversion"/>
  </si>
  <si>
    <t>203
텃밭</t>
    <phoneticPr fontId="8" type="noConversion"/>
  </si>
  <si>
    <t>방충망 4개소 교체 완료
텃밭 울타리 기둥 작업</t>
    <phoneticPr fontId="8" type="noConversion"/>
  </si>
  <si>
    <t>3
102</t>
    <phoneticPr fontId="8" type="noConversion"/>
  </si>
  <si>
    <t>4층
202</t>
    <phoneticPr fontId="8" type="noConversion"/>
  </si>
  <si>
    <t>세탁실 강화도어 흰지 작업 완료
걸레받이 철거</t>
    <phoneticPr fontId="8" type="noConversion"/>
  </si>
  <si>
    <t>앞,뒤 베란다 창고 바닥 , 걸레받이 , 벽면 부분 도색</t>
    <phoneticPr fontId="8" type="noConversion"/>
  </si>
  <si>
    <t>계단</t>
    <phoneticPr fontId="8" type="noConversion"/>
  </si>
  <si>
    <t xml:space="preserve">기숙사 계단 보수 작업(옹벽 철거, 바닥 터파기) </t>
    <phoneticPr fontId="8" type="noConversion"/>
  </si>
  <si>
    <t xml:space="preserve">기숙사 계단 보수 작업(바닥 기초 몰탈 , 철근) </t>
    <phoneticPr fontId="8" type="noConversion"/>
  </si>
  <si>
    <t xml:space="preserve">기숙사 계단 보수 작업(옹벽 거푸집 , 몰탈시공) </t>
    <phoneticPr fontId="8" type="noConversion"/>
  </si>
  <si>
    <t>102
103
7
8</t>
    <phoneticPr fontId="8" type="noConversion"/>
  </si>
  <si>
    <t>202
401
303
107</t>
    <phoneticPr fontId="8" type="noConversion"/>
  </si>
  <si>
    <t>걸레받이 10개소 교체 완료
씽크대 상판 실리콘 제거 및 재코킹 작업 완료
걸레받이 1개소 교체 완료
문보수 1개소 보수완료
방충망 2개소 교체 완료
뒤베란다 벽면 크랙보수 완료
씽크대 상판 실리콘 제거 및 재코킹 작업 완료</t>
    <phoneticPr fontId="8" type="noConversion"/>
  </si>
  <si>
    <t>기숙사 계단 보수 작업(거푸집 제거 , 화단정리) 
폐기물 처리</t>
    <phoneticPr fontId="8" type="noConversion"/>
  </si>
  <si>
    <t xml:space="preserve">9
5
7
8
</t>
    <phoneticPr fontId="8" type="noConversion"/>
  </si>
  <si>
    <t xml:space="preserve">501
502
304
207
</t>
    <phoneticPr fontId="8" type="noConversion"/>
  </si>
  <si>
    <t>바닥 걸레받이 필름 보수 완료
화장실벽 부착물 제거 완료
화장실 벽면모서리 실리콘 작업 완료
뒤베란다 앙카볼트 제거 및 메꿈 작업 완료
씽크대 상판 실리콘 제거 및 재코킹 작업 완료
앞베란다 앙카볼트 구명 메꿈 작업 완료
화장실 벽모서리 실리콘 제거 및 재코킹 작업 완료</t>
    <phoneticPr fontId="8" type="noConversion"/>
  </si>
  <si>
    <t xml:space="preserve">기숙사 계단 보수 작업(계단대리석 설치) </t>
    <phoneticPr fontId="8" type="noConversion"/>
  </si>
  <si>
    <t>3
B</t>
    <phoneticPr fontId="8" type="noConversion"/>
  </si>
  <si>
    <t>텃밭
903-3</t>
    <phoneticPr fontId="8" type="noConversion"/>
  </si>
  <si>
    <t>텃밭 울타리 작업 완료
벽체 들뜸 보수 완료</t>
    <phoneticPr fontId="8" type="noConversion"/>
  </si>
  <si>
    <t>세금계산서 첨부 7
(벽체 보수용 합판)</t>
    <phoneticPr fontId="8" type="noConversion"/>
  </si>
  <si>
    <t>측면</t>
    <phoneticPr fontId="8" type="noConversion"/>
  </si>
  <si>
    <t>자전거 거치대 작업</t>
    <phoneticPr fontId="8" type="noConversion"/>
  </si>
  <si>
    <t>세금계산서 첨부 8
(비닐 커튼)</t>
    <phoneticPr fontId="8" type="noConversion"/>
  </si>
  <si>
    <t>세금계산서 첨부 9
( 커튼설치 부자재)</t>
    <phoneticPr fontId="8" type="noConversion"/>
  </si>
  <si>
    <r>
      <t xml:space="preserve">105
</t>
    </r>
    <r>
      <rPr>
        <sz val="12"/>
        <rFont val="맑은 고딕"/>
        <family val="3"/>
        <charset val="129"/>
        <scheme val="minor"/>
      </rPr>
      <t>104,304</t>
    </r>
    <phoneticPr fontId="8" type="noConversion"/>
  </si>
  <si>
    <t>문, 문틀 , 방화문 도장 작업
앞뒤 걸레받이 , 벽 , 창고 바닥 도장 , 뒤베란다 도장</t>
    <phoneticPr fontId="8" type="noConversion"/>
  </si>
  <si>
    <t>103
103
102
7</t>
    <phoneticPr fontId="8" type="noConversion"/>
  </si>
  <si>
    <t>202
401
202
104</t>
    <phoneticPr fontId="8" type="noConversion"/>
  </si>
  <si>
    <t>씽크대 상판 대리석 교체
신발장 문1개소 교체
씽크대 상부 문교체 , 하부장 1개 교체 , 걸레받이 교체
씽크대 하부 걸레받이 교체</t>
    <phoneticPr fontId="8" type="noConversion"/>
  </si>
  <si>
    <t>세금계산서 첨부 10
세금계산서 첨부 11
세금계산서 첨부 12
세금계산서 첨부 13</t>
    <phoneticPr fontId="8" type="noConversion"/>
  </si>
  <si>
    <t>방충망 6개소 교체 완료</t>
    <phoneticPr fontId="8" type="noConversion"/>
  </si>
  <si>
    <t>7
2
9
8</t>
    <phoneticPr fontId="8" type="noConversion"/>
  </si>
  <si>
    <t>104
105
301
504</t>
    <phoneticPr fontId="8" type="noConversion"/>
  </si>
  <si>
    <t>뒤베란다 벽면 크랙 보수
문보수 1개소 보수완료
씽크대 상판 실리콘 제거 및 재코킹 작업 완료
샤시 천장 실리콘 보수 완료
문풍지 ,스티커, 부착물 제거 완료
화장실 세면대 및 벽모서리 실리콘 작업 완료
씽크대 상판 실리콘 제거 및 재코킹 작업 완료
화장실 벽 모서리 4군데 실리콘 작업 완료</t>
    <phoneticPr fontId="8" type="noConversion"/>
  </si>
  <si>
    <t>세금계산서 첨부 19
(3동측면 계단 옹벽 
도장)</t>
    <phoneticPr fontId="8" type="noConversion"/>
  </si>
  <si>
    <t>A
B
3
2</t>
    <phoneticPr fontId="8" type="noConversion"/>
  </si>
  <si>
    <t>703-2
904-4
텃밭
현관</t>
    <phoneticPr fontId="8" type="noConversion"/>
  </si>
  <si>
    <t>문보수 1개소 보수완료
문보수 1개소 보수완료
걸쇠 설치 완료
전기분전함 필름 자재 구입</t>
    <phoneticPr fontId="8" type="noConversion"/>
  </si>
  <si>
    <t>세금계산서 첨부 15
(분점함필름,부자재)</t>
    <phoneticPr fontId="8" type="noConversion"/>
  </si>
  <si>
    <t>현관</t>
    <phoneticPr fontId="8" type="noConversion"/>
  </si>
  <si>
    <t>전기 분점함 필름 작업</t>
    <phoneticPr fontId="8" type="noConversion"/>
  </si>
  <si>
    <t>7
8</t>
    <phoneticPr fontId="8" type="noConversion"/>
  </si>
  <si>
    <t xml:space="preserve"> 305
302</t>
    <phoneticPr fontId="8" type="noConversion"/>
  </si>
  <si>
    <t>앞베란다 크렉보수  및 벽체 들뜸 보수 완료
씽크대상판 실리콘 제거 및 재코킹 작업 완료
화장실 세면대 및 젠다이 인조대리석 재코킹 작업 완료
뒤베란다 샤시 시트지 제거 완료
싱크대 상판 실리콘 제거 및 재코킹 작업 완료</t>
    <phoneticPr fontId="8" type="noConversion"/>
  </si>
  <si>
    <t xml:space="preserve">8
</t>
    <phoneticPr fontId="8" type="noConversion"/>
  </si>
  <si>
    <t xml:space="preserve">402
</t>
    <phoneticPr fontId="8" type="noConversion"/>
  </si>
  <si>
    <t>뒤베란다 우측 벽면 단열재 시공 및 곰팡이 제거 완료
화장실 벽면 모서리4군데 실리콘 작업 완료
뒤베란다 좌측 벽면 상단 가스배관 주변 막음 작업 완료
신발장 시트지 교체 완료
화장실 문틀 필름 교체 완료
방충망 3개소 교체 완료</t>
    <phoneticPr fontId="8" type="noConversion"/>
  </si>
  <si>
    <t xml:space="preserve"> 신발장 시트지 2㎡</t>
    <phoneticPr fontId="8" type="noConversion"/>
  </si>
  <si>
    <t>102
102
8</t>
    <phoneticPr fontId="8" type="noConversion"/>
  </si>
  <si>
    <t>204
405
402</t>
    <phoneticPr fontId="8" type="noConversion"/>
  </si>
  <si>
    <t>걸레받이 9개소 교체 완료
화장실벽 바닥타일 보수 완료
문보수 2개소 보수  완료
방충망 1개소 교체 완료
걸레받이 2개소 교체 완료
문경첩 보수  완료
방충망 2개소 교체 완료</t>
    <phoneticPr fontId="8" type="noConversion"/>
  </si>
  <si>
    <t>터닝 도어 보수(철은공업사)
터닝 도어 오사이(유리 가스켓) 교체</t>
    <phoneticPr fontId="8" type="noConversion"/>
  </si>
  <si>
    <t>세금계산서 첨부 16
(터닝도어 보수)</t>
    <phoneticPr fontId="8" type="noConversion"/>
  </si>
  <si>
    <t>101
102
8</t>
    <phoneticPr fontId="8" type="noConversion"/>
  </si>
  <si>
    <t>401
405
402</t>
    <phoneticPr fontId="8" type="noConversion"/>
  </si>
  <si>
    <t>걸레받이 6개소 교체 완료
문보수 4개소 보수  완료
거실 샤시 및 주방 씽크대 코너 보호대 제거 완료
거실 화장실 욕조 바닥 보수 완료
방충망 2개소 교체 완료</t>
    <phoneticPr fontId="8" type="noConversion"/>
  </si>
  <si>
    <t>베란다 우수관 주위 습기로 인한 퍼티 작업
바인더 작업</t>
    <phoneticPr fontId="8" type="noConversion"/>
  </si>
  <si>
    <t>303
504</t>
    <phoneticPr fontId="8" type="noConversion"/>
  </si>
  <si>
    <t>방2곳 문,문틀 ,뒤베란다 문,문틀 방화문 도장
뒤베란다 창고내부 전체 도장</t>
    <phoneticPr fontId="8" type="noConversion"/>
  </si>
  <si>
    <t>방2곳 문,문틀 뒤베란다 문,문틀 현관 방화문 도색
앞,뒤 베란다 크랙보수</t>
    <phoneticPr fontId="8" type="noConversion"/>
  </si>
  <si>
    <t xml:space="preserve">2
2
</t>
    <phoneticPr fontId="8" type="noConversion"/>
  </si>
  <si>
    <t xml:space="preserve">303
403
</t>
    <phoneticPr fontId="8" type="noConversion"/>
  </si>
  <si>
    <t>씽크대 상판 실리콘 제거 및 재코킹 작업 완료
걸레받이 10개소 교체 완료
뒤베란다 벽면 들뜸 보수 완료
씽크대 상판 실리콘 제거 및 재코킹 작업 완료
걸레받이 전체 철거 , 방충망 3개소 교체 완료</t>
    <phoneticPr fontId="8" type="noConversion"/>
  </si>
  <si>
    <t xml:space="preserve">2
102
</t>
    <phoneticPr fontId="8" type="noConversion"/>
  </si>
  <si>
    <t xml:space="preserve">408
404
</t>
    <phoneticPr fontId="8" type="noConversion"/>
  </si>
  <si>
    <t>걸레받이 6개소 교체 완료
문보수 1개소 보수  완료
화장실 문틀 시트지 보수 완료
방충망 1개소 교체 완료
걸레받이 5개소 교체 완료
안방 문틀 시트지 보수 완료
씽크대 상판 실리콘 제거 및 보수 완료
방충망 1개소 교체 완료</t>
    <phoneticPr fontId="8" type="noConversion"/>
  </si>
  <si>
    <t xml:space="preserve">101
9
8
</t>
    <phoneticPr fontId="8" type="noConversion"/>
  </si>
  <si>
    <t xml:space="preserve">201
402
508
</t>
    <phoneticPr fontId="8" type="noConversion"/>
  </si>
  <si>
    <t>씽크대 상판 실리콘 제거 및 재코킹 작업 완료
걸레받이 2개소 교체 완료
안방 문틀 시트지 보수 완료
출입구 바닥 타일 보수 작업 완료
씽크대 상판 실리콘 제거 및 재코킹 작업 완료
화장실 벽면 모서리 4군데 실리콘 작업 완료
방충망 3개소 교체 완료</t>
    <phoneticPr fontId="8" type="noConversion"/>
  </si>
  <si>
    <t>세금계산서 첨부 17
(바닥 타일 보수용)</t>
    <phoneticPr fontId="8" type="noConversion"/>
  </si>
  <si>
    <t xml:space="preserve">8
2
</t>
    <phoneticPr fontId="8" type="noConversion"/>
  </si>
  <si>
    <t xml:space="preserve">508
403
</t>
    <phoneticPr fontId="8" type="noConversion"/>
  </si>
  <si>
    <t>방충망 2개소 교체 완료
걸레받이 전체 교체 완료
신발장 옆판 보수 완료</t>
    <phoneticPr fontId="8" type="noConversion"/>
  </si>
  <si>
    <t xml:space="preserve">2
9
</t>
    <phoneticPr fontId="8" type="noConversion"/>
  </si>
  <si>
    <t xml:space="preserve">403
103
</t>
    <phoneticPr fontId="8" type="noConversion"/>
  </si>
  <si>
    <t>문보수 1개소 보수완료
문보수 1개소 보수완료
화장실 우측방 코너 부분 단열 작업 완료
앞베란다 외부샤시 이중유리 전체 실리콘 제거 및 재코킹 작업중</t>
    <phoneticPr fontId="8" type="noConversion"/>
  </si>
  <si>
    <t>9
9
8
5</t>
    <phoneticPr fontId="8" type="noConversion"/>
  </si>
  <si>
    <t>103
105
501
503</t>
    <phoneticPr fontId="8" type="noConversion"/>
  </si>
  <si>
    <t>앞베란다 외부샤시 이중유리 전체 실리콘 재코킹 작업
화장실 실리콘보수(벽면모서리,천장모서리 ,줄눈 구멍) 
앞베란다 외부샤시 크랙 보수 및 창고 문틀 보수 완료
걸레받이 1개소 교체 완료
문보수 1개소 보수완료
방충망 2개소 교체 완료</t>
    <phoneticPr fontId="8" type="noConversion"/>
  </si>
  <si>
    <t xml:space="preserve">5
</t>
    <phoneticPr fontId="8" type="noConversion"/>
  </si>
  <si>
    <t xml:space="preserve">503
</t>
    <phoneticPr fontId="8" type="noConversion"/>
  </si>
  <si>
    <t>화장실 샤워 유리부스 재설치 완료
신발장 시트지 교체 완료
씽크대 상판 실리콘 제거 및 재코킹 작업 완료
앞베란다 전산 볼트 제거 완료
문보수 2개소 보수 완료
방충망 2개소 교체 완료</t>
    <phoneticPr fontId="8" type="noConversion"/>
  </si>
  <si>
    <t>세금계산서 첨부 18
(유리부스 부자재)
신발장 시트지 2㎡</t>
    <phoneticPr fontId="8" type="noConversion"/>
  </si>
  <si>
    <t xml:space="preserve"> 방2곳 문,문틀 / 뒤베란다 문,문틀 / 방화문 도장
내부 도색 , 앞뒤 베란다 , 걸레받이 보수 도장</t>
    <phoneticPr fontId="8" type="noConversion"/>
  </si>
  <si>
    <t>25년</t>
    <phoneticPr fontId="2" type="noConversion"/>
  </si>
  <si>
    <t>신발장 시트지 교체 완료
화장실 문측면 시트지 교체완료
씽크대 상판 실리콘 제거및 재코킹 작업 완료
방충망 2개소 교체 완료
뒤베란다 크렉 보수 완료</t>
    <phoneticPr fontId="8" type="noConversion"/>
  </si>
  <si>
    <t>도어보수 1개소 완료
신발장 시트지 제거 및 교체 완료
도어보수 1개소 완료
씽크대 상판 실리콘 제거 및 재코킹 작업 완료
앞,뒤 베란다 벽면 크렉 전체 보수 완료
뒤베란다 곰팡이 제거 롼료
방충망 3개소 교체 완료</t>
    <phoneticPr fontId="8" type="noConversion"/>
  </si>
  <si>
    <t>0.3
(2.7)
이월</t>
    <phoneticPr fontId="8" type="noConversion"/>
  </si>
  <si>
    <t>26년</t>
    <phoneticPr fontId="2" type="noConversion"/>
  </si>
  <si>
    <t>근로자 
(직접 서명)
관리소 목록</t>
    <phoneticPr fontId="2" type="noConversion"/>
  </si>
  <si>
    <t>자재수량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</si>
</sst>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mm&quot;월&quot;\ dd&quot;일&quot;"/>
    <numFmt numFmtId="177" formatCode="[hh]\ &quot;시간&quot;\ mm\ &quot;분&quot;"/>
  </numFmts>
  <fonts count="5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0"/>
      <color theme="0" tint="-0.249977111117893"/>
      <name val="맑은 고딕"/>
      <family val="3"/>
      <charset val="129"/>
      <scheme val="minor"/>
    </font>
    <font>
      <sz val="10"/>
      <color theme="0" tint="-0.34998626667073579"/>
      <name val="맑은 고딕"/>
      <family val="3"/>
      <charset val="129"/>
      <scheme val="minor"/>
    </font>
    <font>
      <b/>
      <sz val="10"/>
      <color theme="1"/>
      <name val="맑은 고딕"/>
      <family val="3"/>
      <charset val="129"/>
      <scheme val="minor"/>
    </font>
    <font>
      <b/>
      <sz val="10"/>
      <color rgb="FFFF0000"/>
      <name val="맑은 고딕"/>
      <family val="3"/>
      <charset val="129"/>
      <scheme val="minor"/>
    </font>
    <font>
      <b/>
      <sz val="10"/>
      <color rgb="FFFF00FF"/>
      <name val="맑은 고딕"/>
      <family val="3"/>
      <charset val="129"/>
      <scheme val="minor"/>
    </font>
    <font>
      <sz val="8"/>
      <name val="맑은 고딕"/>
      <family val="3"/>
      <charset val="129"/>
      <scheme val="minor"/>
    </font>
    <font>
      <sz val="10"/>
      <color theme="1"/>
      <name val="맑은 고딕"/>
      <family val="3"/>
      <charset val="129"/>
      <scheme val="minor"/>
    </font>
    <font>
      <b/>
      <sz val="10"/>
      <color theme="0" tint="-0.34998626667073579"/>
      <name val="맑은 고딕"/>
      <family val="3"/>
      <charset val="129"/>
      <scheme val="minor"/>
    </font>
    <font>
      <b/>
      <sz val="12"/>
      <name val="맑은 고딕"/>
      <family val="3"/>
      <charset val="129"/>
      <scheme val="minor"/>
    </font>
    <font>
      <b/>
      <sz val="12"/>
      <color theme="1"/>
      <name val="맑은 고딕"/>
      <family val="3"/>
      <charset val="129"/>
      <scheme val="minor"/>
    </font>
    <font>
      <sz val="11"/>
      <color theme="1"/>
      <name val="맑은 고딕"/>
      <family val="3"/>
      <charset val="129"/>
      <scheme val="minor"/>
    </font>
    <font>
      <sz val="12"/>
      <color theme="1"/>
      <name val="맑은 고딕"/>
      <family val="3"/>
      <charset val="129"/>
      <scheme val="minor"/>
    </font>
    <font>
      <sz val="18"/>
      <color theme="1"/>
      <name val="맑은 고딕"/>
      <family val="3"/>
      <charset val="129"/>
      <scheme val="minor"/>
    </font>
    <font>
      <sz val="10"/>
      <color theme="1"/>
      <name val="맑은 고딕"/>
      <family val="3"/>
      <charset val="129"/>
    </font>
    <font>
      <sz val="11"/>
      <color indexed="8"/>
      <name val="맑은 고딕"/>
      <family val="2"/>
      <scheme val="minor"/>
    </font>
    <font>
      <sz val="11"/>
      <color theme="1"/>
      <name val="LG스마트체 Regular"/>
      <family val="3"/>
      <charset val="129"/>
    </font>
    <font>
      <b/>
      <sz val="13"/>
      <color theme="0" tint="-0.499984740745262"/>
      <name val="LG스마트체 Regular"/>
      <family val="3"/>
      <charset val="129"/>
    </font>
    <font>
      <sz val="13"/>
      <color theme="0" tint="-0.499984740745262"/>
      <name val="LG스마트체 Regular"/>
      <family val="3"/>
      <charset val="129"/>
    </font>
    <font>
      <sz val="10"/>
      <color theme="0" tint="-0.34998626667073579"/>
      <name val="LG스마트체 Regular"/>
      <family val="3"/>
      <charset val="129"/>
    </font>
    <font>
      <sz val="20"/>
      <color rgb="FFFF00FF"/>
      <name val="LG스마트체 Regular"/>
      <family val="3"/>
      <charset val="129"/>
    </font>
    <font>
      <b/>
      <sz val="15"/>
      <color theme="1"/>
      <name val="LG스마트체 Regular"/>
      <family val="3"/>
      <charset val="129"/>
    </font>
    <font>
      <b/>
      <sz val="15"/>
      <color theme="1" tint="0.34998626667073579"/>
      <name val="LG스마트체 Regular"/>
      <family val="3"/>
      <charset val="129"/>
    </font>
    <font>
      <sz val="15"/>
      <color theme="1"/>
      <name val="LG스마트체 Regular"/>
      <family val="3"/>
      <charset val="129"/>
    </font>
    <font>
      <sz val="11"/>
      <color theme="0" tint="-0.34998626667073579"/>
      <name val="맑은 고딕"/>
      <family val="3"/>
      <charset val="129"/>
      <scheme val="minor"/>
    </font>
    <font>
      <sz val="14"/>
      <name val="맑은 고딕"/>
      <family val="3"/>
      <charset val="129"/>
      <scheme val="minor"/>
    </font>
    <font>
      <sz val="17"/>
      <name val="맑은 고딕"/>
      <family val="3"/>
      <charset val="129"/>
      <scheme val="minor"/>
    </font>
    <font>
      <sz val="15"/>
      <name val="맑은 고딕"/>
      <family val="3"/>
      <charset val="129"/>
      <scheme val="minor"/>
    </font>
    <font>
      <sz val="11"/>
      <name val="맑은 고딕"/>
      <family val="3"/>
      <charset val="129"/>
      <scheme val="minor"/>
    </font>
    <font>
      <sz val="15"/>
      <name val="LG스마트체 Regular"/>
      <family val="3"/>
      <charset val="129"/>
    </font>
    <font>
      <sz val="20"/>
      <name val="맑은 고딕"/>
      <family val="3"/>
      <charset val="129"/>
      <scheme val="minor"/>
    </font>
    <font>
      <sz val="12"/>
      <name val="맑은 고딕"/>
      <family val="3"/>
      <charset val="129"/>
      <scheme val="minor"/>
    </font>
    <font>
      <b/>
      <sz val="19"/>
      <name val="맑은 고딕"/>
      <family val="3"/>
      <charset val="129"/>
      <scheme val="minor"/>
    </font>
    <font>
      <sz val="19"/>
      <color indexed="8"/>
      <name val="맑은 고딕"/>
      <family val="3"/>
      <charset val="129"/>
      <scheme val="minor"/>
    </font>
    <font>
      <sz val="14"/>
      <color indexed="8"/>
      <name val="맑은 고딕"/>
      <family val="3"/>
      <charset val="129"/>
      <scheme val="minor"/>
    </font>
    <font>
      <b/>
      <sz val="14"/>
      <color rgb="FFFF0000"/>
      <name val="맑은 고딕"/>
      <family val="3"/>
      <charset val="129"/>
      <scheme val="minor"/>
    </font>
    <font>
      <sz val="14"/>
      <color theme="1"/>
      <name val="맑은 고딕"/>
      <family val="3"/>
      <charset val="129"/>
      <scheme val="minor"/>
    </font>
    <font>
      <b/>
      <sz val="20"/>
      <name val="맑은 고딕"/>
      <family val="3"/>
      <charset val="129"/>
      <scheme val="minor"/>
    </font>
    <font>
      <b/>
      <sz val="11"/>
      <name val="맑은 고딕"/>
      <family val="3"/>
      <charset val="129"/>
      <scheme val="minor"/>
    </font>
    <font>
      <sz val="11"/>
      <color theme="0" tint="-0.249977111117893"/>
      <name val="맑은 고딕"/>
      <family val="3"/>
      <charset val="129"/>
      <scheme val="minor"/>
    </font>
    <font>
      <b/>
      <sz val="11"/>
      <color theme="1"/>
      <name val="맑은 고딕"/>
      <family val="3"/>
      <charset val="129"/>
      <scheme val="minor"/>
    </font>
    <font>
      <b/>
      <sz val="11"/>
      <color theme="1" tint="0.34998626667073579"/>
      <name val="LG스마트체 Regular"/>
      <family val="3"/>
      <charset val="129"/>
    </font>
    <font>
      <b/>
      <sz val="11"/>
      <color theme="1"/>
      <name val="LG스마트체 Regular"/>
      <family val="3"/>
      <charset val="129"/>
    </font>
    <font>
      <b/>
      <sz val="20"/>
      <color rgb="FFFF0000"/>
      <name val="맑은 고딕"/>
      <family val="3"/>
      <charset val="129"/>
      <scheme val="minor"/>
    </font>
    <font>
      <b/>
      <sz val="19"/>
      <color rgb="FFFF0000"/>
      <name val="맑은 고딕"/>
      <family val="3"/>
      <charset val="129"/>
      <scheme val="minor"/>
    </font>
    <font>
      <sz val="19"/>
      <name val="맑은 고딕"/>
      <family val="3"/>
      <charset val="129"/>
      <scheme val="minor"/>
    </font>
    <font>
      <b/>
      <sz val="15"/>
      <color rgb="FFFF00FF"/>
      <name val="맑은 고딕"/>
      <family val="3"/>
      <charset val="129"/>
      <scheme val="minor"/>
    </font>
    <font>
      <b/>
      <sz val="14"/>
      <color rgb="FFFF00FF"/>
      <name val="맑은 고딕"/>
      <family val="3"/>
      <charset val="129"/>
      <scheme val="minor"/>
    </font>
    <font>
      <sz val="14"/>
      <color rgb="FFFF0000"/>
      <name val="맑은 고딕"/>
      <family val="3"/>
      <charset val="129"/>
      <scheme val="minor"/>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s>
  <borders count="72">
    <border>
      <left/>
      <right/>
      <top/>
      <bottom/>
      <diagonal/>
    </border>
    <border>
      <left style="hair">
        <color theme="0" tint="-0.24994659260841701"/>
      </left>
      <right style="hair">
        <color theme="0" tint="-0.24994659260841701"/>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hair">
        <color indexed="64"/>
      </right>
      <top style="hair">
        <color indexed="64"/>
      </top>
      <bottom style="thin">
        <color auto="1"/>
      </bottom>
      <diagonal/>
    </border>
    <border>
      <left style="hair">
        <color auto="1"/>
      </left>
      <right style="thin">
        <color auto="1"/>
      </right>
      <top style="hair">
        <color auto="1"/>
      </top>
      <bottom style="thin">
        <color auto="1"/>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right style="thin">
        <color theme="0" tint="-0.24994659260841701"/>
      </right>
      <top style="thin">
        <color theme="0" tint="-0.24994659260841701"/>
      </top>
      <bottom style="thin">
        <color theme="0" tint="-0.24994659260841701"/>
      </bottom>
      <diagonal/>
    </border>
    <border diagonalUp="1">
      <left style="thin">
        <color theme="0" tint="-0.24994659260841701"/>
      </left>
      <right style="thin">
        <color theme="0" tint="-0.24994659260841701"/>
      </right>
      <top style="thin">
        <color theme="0" tint="-0.24994659260841701"/>
      </top>
      <bottom style="thin">
        <color theme="0" tint="-0.24994659260841701"/>
      </bottom>
      <diagonal style="thin">
        <color theme="0" tint="-0.24994659260841701"/>
      </diagonal>
    </border>
    <border>
      <left/>
      <right style="thin">
        <color theme="0" tint="-0.24994659260841701"/>
      </right>
      <top style="thin">
        <color indexed="64"/>
      </top>
      <bottom style="thin">
        <color indexed="64"/>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theme="1"/>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theme="1"/>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top style="thin">
        <color theme="0" tint="-0.24994659260841701"/>
      </top>
      <bottom style="thin">
        <color indexed="64"/>
      </bottom>
      <diagonal/>
    </border>
    <border>
      <left style="medium">
        <color indexed="64"/>
      </left>
      <right style="thin">
        <color theme="0" tint="-0.24994659260841701"/>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top style="medium">
        <color indexed="64"/>
      </top>
      <bottom style="thin">
        <color theme="0" tint="-0.24994659260841701"/>
      </bottom>
      <diagonal/>
    </border>
    <border>
      <left style="thin">
        <color indexed="64"/>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thin">
        <color indexed="64"/>
      </bottom>
      <diagonal/>
    </border>
    <border>
      <left/>
      <right style="thin">
        <color theme="0" tint="-0.24994659260841701"/>
      </right>
      <top style="thin">
        <color theme="0" tint="-0.24994659260841701"/>
      </top>
      <bottom style="thin">
        <color indexed="64"/>
      </bottom>
      <diagonal/>
    </border>
    <border>
      <left style="thin">
        <color indexed="64"/>
      </left>
      <right style="medium">
        <color indexed="64"/>
      </right>
      <top style="thin">
        <color theme="0" tint="-0.24994659260841701"/>
      </top>
      <bottom style="thin">
        <color indexed="64"/>
      </bottom>
      <diagonal/>
    </border>
    <border>
      <left style="medium">
        <color indexed="64"/>
      </left>
      <right/>
      <top style="medium">
        <color indexed="64"/>
      </top>
      <bottom style="thin">
        <color theme="0" tint="-0.24994659260841701"/>
      </bottom>
      <diagonal/>
    </border>
    <border>
      <left style="thin">
        <color theme="0" tint="-0.24994659260841701"/>
      </left>
      <right style="thin">
        <color indexed="64"/>
      </right>
      <top style="medium">
        <color indexed="64"/>
      </top>
      <bottom style="thin">
        <color theme="0" tint="-0.24994659260841701"/>
      </bottom>
      <diagonal/>
    </border>
    <border>
      <left style="medium">
        <color indexed="64"/>
      </left>
      <right/>
      <top style="thin">
        <color theme="0" tint="-0.24994659260841701"/>
      </top>
      <bottom style="thin">
        <color theme="0" tint="-0.24994659260841701"/>
      </bottom>
      <diagonal/>
    </border>
    <border>
      <left style="medium">
        <color indexed="64"/>
      </left>
      <right/>
      <top style="thin">
        <color theme="0" tint="-0.24994659260841701"/>
      </top>
      <bottom style="thin">
        <color indexed="64"/>
      </bottom>
      <diagonal/>
    </border>
    <border>
      <left style="thin">
        <color theme="1"/>
      </left>
      <right style="medium">
        <color indexed="64"/>
      </right>
      <top style="thin">
        <color theme="0" tint="-0.24994659260841701"/>
      </top>
      <bottom style="thin">
        <color indexed="64"/>
      </bottom>
      <diagonal/>
    </border>
    <border>
      <left/>
      <right/>
      <top style="thin">
        <color indexed="64"/>
      </top>
      <bottom style="thin">
        <color theme="0" tint="-0.24994659260841701"/>
      </bottom>
      <diagonal/>
    </border>
    <border>
      <left/>
      <right style="thin">
        <color indexed="64"/>
      </right>
      <top/>
      <bottom style="thin">
        <color indexed="64"/>
      </bottom>
      <diagonal/>
    </border>
  </borders>
  <cellStyleXfs count="4">
    <xf numFmtId="0" fontId="0" fillId="0" borderId="0">
      <alignment vertical="center"/>
    </xf>
    <xf numFmtId="0" fontId="1" fillId="0" borderId="0">
      <alignment vertical="center"/>
    </xf>
    <xf numFmtId="0" fontId="1" fillId="0" borderId="0">
      <alignment vertical="center"/>
    </xf>
    <xf numFmtId="0" fontId="17" fillId="0" borderId="0">
      <alignment vertical="center"/>
    </xf>
  </cellStyleXfs>
  <cellXfs count="261">
    <xf numFmtId="0" fontId="0" fillId="0" borderId="0" xfId="0">
      <alignment vertical="center"/>
    </xf>
    <xf numFmtId="0" fontId="1" fillId="0" borderId="0" xfId="1">
      <alignment vertical="center"/>
    </xf>
    <xf numFmtId="0" fontId="3" fillId="0" borderId="0" xfId="1" applyFont="1">
      <alignment vertical="center"/>
    </xf>
    <xf numFmtId="0" fontId="4" fillId="0" borderId="1" xfId="1" applyFont="1" applyBorder="1" applyAlignment="1">
      <alignment horizontal="center" vertical="center"/>
    </xf>
    <xf numFmtId="0" fontId="4" fillId="0" borderId="1" xfId="1" applyFont="1" applyBorder="1" applyAlignment="1">
      <alignment horizontal="center" vertical="center" wrapText="1"/>
    </xf>
    <xf numFmtId="14" fontId="4" fillId="0" borderId="1" xfId="1" quotePrefix="1" applyNumberFormat="1" applyFont="1" applyBorder="1" applyAlignment="1">
      <alignment horizontal="center" vertical="center"/>
    </xf>
    <xf numFmtId="0" fontId="4" fillId="0" borderId="1" xfId="1" quotePrefix="1" applyFont="1" applyBorder="1" applyAlignment="1">
      <alignment vertical="center" wrapText="1"/>
    </xf>
    <xf numFmtId="0" fontId="4" fillId="0" borderId="0" xfId="1" quotePrefix="1" applyFont="1" applyAlignment="1">
      <alignment vertical="center" wrapText="1"/>
    </xf>
    <xf numFmtId="0" fontId="1" fillId="0" borderId="0" xfId="1" applyAlignment="1">
      <alignment horizontal="center" vertical="center"/>
    </xf>
    <xf numFmtId="0" fontId="5" fillId="0" borderId="12" xfId="1" applyFont="1" applyBorder="1" applyAlignment="1">
      <alignment horizontal="center" vertical="center"/>
    </xf>
    <xf numFmtId="0" fontId="6" fillId="0" borderId="13" xfId="1" applyFont="1" applyBorder="1" applyAlignment="1">
      <alignment horizontal="center" vertical="center"/>
    </xf>
    <xf numFmtId="0" fontId="5" fillId="0" borderId="0" xfId="1" applyFont="1" applyAlignment="1">
      <alignment horizontal="center" vertical="center"/>
    </xf>
    <xf numFmtId="0" fontId="7" fillId="0" borderId="0" xfId="1" applyFont="1" applyAlignment="1">
      <alignment horizontal="center" vertical="center"/>
    </xf>
    <xf numFmtId="0" fontId="6" fillId="0" borderId="0" xfId="1" applyFont="1" applyAlignment="1">
      <alignment horizontal="center" vertical="center"/>
    </xf>
    <xf numFmtId="0" fontId="5" fillId="0" borderId="14" xfId="1" applyFont="1" applyBorder="1" applyAlignment="1">
      <alignment horizontal="center" vertical="center"/>
    </xf>
    <xf numFmtId="0" fontId="9" fillId="3" borderId="23" xfId="1" applyFont="1" applyFill="1" applyBorder="1" applyAlignment="1">
      <alignment horizontal="center" vertical="center" wrapText="1"/>
    </xf>
    <xf numFmtId="0" fontId="9" fillId="0" borderId="23" xfId="1" applyFont="1" applyBorder="1" applyAlignment="1">
      <alignment horizontal="center" vertical="center" wrapText="1"/>
    </xf>
    <xf numFmtId="176" fontId="10" fillId="5" borderId="26" xfId="1" applyNumberFormat="1" applyFont="1" applyFill="1" applyBorder="1" applyAlignment="1">
      <alignment horizontal="center" vertical="center"/>
    </xf>
    <xf numFmtId="20" fontId="7" fillId="5" borderId="26" xfId="1" applyNumberFormat="1" applyFont="1" applyFill="1" applyBorder="1" applyAlignment="1">
      <alignment horizontal="center" vertical="center"/>
    </xf>
    <xf numFmtId="20" fontId="12" fillId="5" borderId="26" xfId="1" applyNumberFormat="1" applyFont="1" applyFill="1" applyBorder="1" applyAlignment="1">
      <alignment horizontal="center" vertical="center"/>
    </xf>
    <xf numFmtId="177" fontId="7" fillId="5" borderId="26" xfId="1" applyNumberFormat="1" applyFont="1" applyFill="1" applyBorder="1" applyAlignment="1">
      <alignment horizontal="center" vertical="center"/>
    </xf>
    <xf numFmtId="0" fontId="10" fillId="5" borderId="26" xfId="1" applyFont="1" applyFill="1" applyBorder="1" applyAlignment="1">
      <alignment horizontal="center" vertical="center"/>
    </xf>
    <xf numFmtId="0" fontId="10" fillId="5" borderId="26" xfId="1" applyFont="1" applyFill="1" applyBorder="1" applyAlignment="1">
      <alignment horizontal="center" vertical="center" wrapText="1"/>
    </xf>
    <xf numFmtId="0" fontId="10" fillId="5" borderId="26" xfId="1" applyFont="1" applyFill="1" applyBorder="1" applyAlignment="1">
      <alignment vertical="center" wrapText="1"/>
    </xf>
    <xf numFmtId="0" fontId="6" fillId="5" borderId="28" xfId="1" applyFont="1" applyFill="1" applyBorder="1" applyAlignment="1">
      <alignment vertical="center" wrapText="1"/>
    </xf>
    <xf numFmtId="41" fontId="1" fillId="0" borderId="0" xfId="1" applyNumberFormat="1">
      <alignment vertical="center"/>
    </xf>
    <xf numFmtId="0" fontId="5" fillId="0" borderId="18" xfId="1" applyFont="1" applyBorder="1" applyAlignment="1">
      <alignment horizontal="center" vertical="center" wrapText="1"/>
    </xf>
    <xf numFmtId="0" fontId="9" fillId="0" borderId="0" xfId="1" applyFont="1">
      <alignment vertical="center"/>
    </xf>
    <xf numFmtId="0" fontId="5" fillId="0" borderId="15" xfId="1" applyFont="1" applyBorder="1" applyAlignment="1">
      <alignment horizontal="center" vertical="center"/>
    </xf>
    <xf numFmtId="0" fontId="9" fillId="0" borderId="16" xfId="1" applyFont="1" applyBorder="1" applyAlignment="1">
      <alignment horizontal="center" vertical="center"/>
    </xf>
    <xf numFmtId="0" fontId="9" fillId="0" borderId="17" xfId="1" applyFont="1" applyBorder="1" applyAlignment="1">
      <alignment horizontal="center" vertical="center"/>
    </xf>
    <xf numFmtId="176" fontId="9" fillId="0" borderId="17" xfId="1" applyNumberFormat="1" applyFont="1" applyBorder="1" applyAlignment="1">
      <alignment horizontal="center" vertical="center"/>
    </xf>
    <xf numFmtId="20" fontId="9" fillId="0" borderId="17" xfId="1" applyNumberFormat="1" applyFont="1" applyBorder="1" applyAlignment="1">
      <alignment horizontal="center" vertical="center"/>
    </xf>
    <xf numFmtId="177" fontId="9" fillId="0" borderId="17" xfId="1" applyNumberFormat="1" applyFont="1" applyBorder="1" applyAlignment="1">
      <alignment horizontal="center" vertical="center"/>
    </xf>
    <xf numFmtId="0" fontId="9" fillId="0" borderId="17" xfId="1" applyFont="1" applyBorder="1" applyAlignment="1">
      <alignment vertical="center" wrapText="1"/>
    </xf>
    <xf numFmtId="0" fontId="9" fillId="0" borderId="19" xfId="1" applyFont="1" applyBorder="1">
      <alignment vertical="center"/>
    </xf>
    <xf numFmtId="0" fontId="13" fillId="0" borderId="0" xfId="1" applyFont="1">
      <alignment vertical="center"/>
    </xf>
    <xf numFmtId="0" fontId="5" fillId="0" borderId="20" xfId="1" applyFont="1" applyBorder="1" applyAlignment="1">
      <alignment horizontal="center" vertical="center"/>
    </xf>
    <xf numFmtId="0" fontId="9" fillId="0" borderId="21" xfId="1" applyFont="1" applyBorder="1" applyAlignment="1">
      <alignment horizontal="center" vertical="center"/>
    </xf>
    <xf numFmtId="0" fontId="9" fillId="0" borderId="22" xfId="1" applyFont="1" applyBorder="1" applyAlignment="1">
      <alignment horizontal="center" vertical="center"/>
    </xf>
    <xf numFmtId="176" fontId="9" fillId="0" borderId="22" xfId="1" applyNumberFormat="1" applyFont="1" applyBorder="1" applyAlignment="1">
      <alignment horizontal="center" vertical="center"/>
    </xf>
    <xf numFmtId="20" fontId="9" fillId="0" borderId="22" xfId="1" applyNumberFormat="1" applyFont="1" applyBorder="1" applyAlignment="1">
      <alignment horizontal="center" vertical="center"/>
    </xf>
    <xf numFmtId="177" fontId="9" fillId="0" borderId="22" xfId="1" applyNumberFormat="1" applyFont="1" applyBorder="1" applyAlignment="1">
      <alignment horizontal="center" vertical="center"/>
    </xf>
    <xf numFmtId="0" fontId="9" fillId="0" borderId="22" xfId="1" applyFont="1" applyBorder="1" applyAlignment="1">
      <alignment vertical="center" wrapText="1"/>
    </xf>
    <xf numFmtId="0" fontId="5" fillId="0" borderId="23" xfId="1" applyFont="1" applyBorder="1" applyAlignment="1">
      <alignment horizontal="center" vertical="center" wrapText="1"/>
    </xf>
    <xf numFmtId="0" fontId="9" fillId="0" borderId="24" xfId="1" applyFont="1" applyBorder="1" applyAlignment="1">
      <alignment vertical="center" wrapText="1"/>
    </xf>
    <xf numFmtId="0" fontId="12" fillId="0" borderId="22" xfId="1" applyFont="1" applyBorder="1" applyAlignment="1">
      <alignment horizontal="center" vertical="center"/>
    </xf>
    <xf numFmtId="0" fontId="9" fillId="0" borderId="22" xfId="1" applyFont="1" applyBorder="1">
      <alignment vertical="center"/>
    </xf>
    <xf numFmtId="0" fontId="5" fillId="0" borderId="23" xfId="1" applyFont="1" applyBorder="1" applyAlignment="1">
      <alignment horizontal="center" vertical="center"/>
    </xf>
    <xf numFmtId="177" fontId="14" fillId="0" borderId="22" xfId="1" applyNumberFormat="1" applyFont="1" applyBorder="1">
      <alignment vertical="center"/>
    </xf>
    <xf numFmtId="176" fontId="9" fillId="0" borderId="22" xfId="1" quotePrefix="1" applyNumberFormat="1" applyFont="1" applyBorder="1" applyAlignment="1">
      <alignment horizontal="center" vertical="center"/>
    </xf>
    <xf numFmtId="0" fontId="9" fillId="0" borderId="22" xfId="1" applyFont="1" applyBorder="1" applyAlignment="1">
      <alignment horizontal="center" vertical="center" wrapText="1"/>
    </xf>
    <xf numFmtId="0" fontId="14" fillId="0" borderId="24" xfId="1" applyFont="1" applyBorder="1" applyAlignment="1">
      <alignment vertical="center" wrapText="1"/>
    </xf>
    <xf numFmtId="0" fontId="15" fillId="0" borderId="25" xfId="1" applyFont="1" applyBorder="1" applyAlignment="1">
      <alignment horizontal="center" vertical="center" wrapText="1"/>
    </xf>
    <xf numFmtId="0" fontId="9" fillId="3" borderId="22" xfId="1" applyFont="1" applyFill="1" applyBorder="1" applyAlignment="1">
      <alignment horizontal="center" vertical="center"/>
    </xf>
    <xf numFmtId="176" fontId="9" fillId="3" borderId="22" xfId="1" applyNumberFormat="1" applyFont="1" applyFill="1" applyBorder="1" applyAlignment="1">
      <alignment horizontal="center" vertical="center"/>
    </xf>
    <xf numFmtId="20" fontId="9" fillId="3" borderId="22" xfId="1" applyNumberFormat="1" applyFont="1" applyFill="1" applyBorder="1" applyAlignment="1">
      <alignment horizontal="center" vertical="center"/>
    </xf>
    <xf numFmtId="0" fontId="9" fillId="3" borderId="22" xfId="1" applyFont="1" applyFill="1" applyBorder="1" applyAlignment="1">
      <alignment horizontal="center" vertical="center" wrapText="1"/>
    </xf>
    <xf numFmtId="0" fontId="9" fillId="3" borderId="22" xfId="1" applyFont="1" applyFill="1" applyBorder="1" applyAlignment="1">
      <alignment vertical="center" wrapText="1"/>
    </xf>
    <xf numFmtId="0" fontId="5" fillId="3" borderId="23" xfId="1" applyFont="1" applyFill="1" applyBorder="1" applyAlignment="1">
      <alignment horizontal="center" vertical="center" wrapText="1"/>
    </xf>
    <xf numFmtId="0" fontId="5" fillId="3" borderId="24" xfId="1" applyFont="1" applyFill="1" applyBorder="1" applyAlignment="1">
      <alignment vertical="center" wrapText="1"/>
    </xf>
    <xf numFmtId="0" fontId="5" fillId="3" borderId="23" xfId="1" applyFont="1" applyFill="1" applyBorder="1" applyAlignment="1">
      <alignment horizontal="center" vertical="center"/>
    </xf>
    <xf numFmtId="177" fontId="9" fillId="3" borderId="22" xfId="1" applyNumberFormat="1" applyFont="1" applyFill="1" applyBorder="1">
      <alignment vertical="center"/>
    </xf>
    <xf numFmtId="177" fontId="9" fillId="0" borderId="22" xfId="1" applyNumberFormat="1" applyFont="1" applyBorder="1">
      <alignment vertical="center"/>
    </xf>
    <xf numFmtId="177" fontId="9" fillId="3" borderId="22" xfId="1" applyNumberFormat="1" applyFont="1" applyFill="1" applyBorder="1" applyAlignment="1">
      <alignment horizontal="center" vertical="center"/>
    </xf>
    <xf numFmtId="177" fontId="5" fillId="0" borderId="22" xfId="1" applyNumberFormat="1" applyFont="1" applyBorder="1" applyAlignment="1">
      <alignment horizontal="center" vertical="center"/>
    </xf>
    <xf numFmtId="0" fontId="5" fillId="0" borderId="22" xfId="1" applyFont="1" applyBorder="1" applyAlignment="1">
      <alignment vertical="center" wrapText="1"/>
    </xf>
    <xf numFmtId="176" fontId="9" fillId="3" borderId="22" xfId="1" applyNumberFormat="1" applyFont="1" applyFill="1" applyBorder="1" applyAlignment="1">
      <alignment horizontal="center" vertical="center" wrapText="1"/>
    </xf>
    <xf numFmtId="177" fontId="9" fillId="3" borderId="22" xfId="1" applyNumberFormat="1" applyFont="1" applyFill="1" applyBorder="1" applyAlignment="1">
      <alignment vertical="center" wrapText="1"/>
    </xf>
    <xf numFmtId="20" fontId="9" fillId="0" borderId="23" xfId="1" applyNumberFormat="1" applyFont="1" applyBorder="1" applyAlignment="1">
      <alignment horizontal="centerContinuous" vertical="center"/>
    </xf>
    <xf numFmtId="20" fontId="9" fillId="0" borderId="25" xfId="1" applyNumberFormat="1" applyFont="1" applyBorder="1" applyAlignment="1">
      <alignment horizontal="centerContinuous" vertical="center"/>
    </xf>
    <xf numFmtId="20" fontId="9" fillId="0" borderId="29" xfId="1" applyNumberFormat="1" applyFont="1" applyBorder="1" applyAlignment="1">
      <alignment horizontal="centerContinuous" vertical="center"/>
    </xf>
    <xf numFmtId="0" fontId="16" fillId="0" borderId="22" xfId="1" applyFont="1" applyBorder="1" applyAlignment="1">
      <alignment vertical="center" wrapText="1"/>
    </xf>
    <xf numFmtId="177" fontId="9" fillId="0" borderId="23" xfId="1" applyNumberFormat="1" applyFont="1" applyBorder="1">
      <alignment vertical="center"/>
    </xf>
    <xf numFmtId="0" fontId="9" fillId="3" borderId="24" xfId="1" applyFont="1" applyFill="1" applyBorder="1" applyAlignment="1">
      <alignment vertical="center" wrapText="1"/>
    </xf>
    <xf numFmtId="177" fontId="9" fillId="0" borderId="22" xfId="1" applyNumberFormat="1" applyFont="1" applyBorder="1" applyAlignment="1">
      <alignment vertical="center" wrapText="1"/>
    </xf>
    <xf numFmtId="0" fontId="15" fillId="0" borderId="25" xfId="1" applyFont="1" applyBorder="1" applyAlignment="1">
      <alignment horizontal="centerContinuous" vertical="center" wrapText="1"/>
    </xf>
    <xf numFmtId="0" fontId="18" fillId="0" borderId="0" xfId="2" applyFont="1">
      <alignment vertical="center"/>
    </xf>
    <xf numFmtId="0" fontId="19" fillId="0" borderId="0" xfId="2" applyFont="1" applyAlignment="1">
      <alignment horizontal="center" vertical="center"/>
    </xf>
    <xf numFmtId="0" fontId="20" fillId="0" borderId="32" xfId="2" applyFont="1" applyBorder="1" applyAlignment="1">
      <alignment horizontal="center" vertical="center"/>
    </xf>
    <xf numFmtId="0" fontId="20" fillId="0" borderId="32" xfId="2" applyFont="1" applyBorder="1" applyAlignment="1">
      <alignment horizontal="center" vertical="center" wrapText="1"/>
    </xf>
    <xf numFmtId="14" fontId="20" fillId="0" borderId="32" xfId="2" quotePrefix="1" applyNumberFormat="1" applyFont="1" applyBorder="1" applyAlignment="1">
      <alignment horizontal="center" vertical="center"/>
    </xf>
    <xf numFmtId="0" fontId="20" fillId="0" borderId="32" xfId="2" quotePrefix="1" applyFont="1" applyBorder="1" applyAlignment="1">
      <alignment vertical="center" wrapText="1"/>
    </xf>
    <xf numFmtId="0" fontId="22" fillId="0" borderId="32" xfId="2" quotePrefix="1" applyFont="1" applyBorder="1">
      <alignment vertical="center"/>
    </xf>
    <xf numFmtId="0" fontId="21" fillId="0" borderId="0" xfId="2" quotePrefix="1" applyFont="1" applyAlignment="1">
      <alignment vertical="center" wrapText="1"/>
    </xf>
    <xf numFmtId="0" fontId="18" fillId="0" borderId="0" xfId="2" applyFont="1" applyAlignment="1">
      <alignment horizontal="center" vertical="center"/>
    </xf>
    <xf numFmtId="0" fontId="24" fillId="2" borderId="34" xfId="2" applyFont="1" applyFill="1" applyBorder="1" applyAlignment="1">
      <alignment horizontal="center" vertical="center"/>
    </xf>
    <xf numFmtId="0" fontId="24" fillId="2" borderId="40" xfId="2" applyFont="1" applyFill="1" applyBorder="1" applyAlignment="1">
      <alignment horizontal="center" vertical="center"/>
    </xf>
    <xf numFmtId="0" fontId="24" fillId="2" borderId="41" xfId="2" applyFont="1" applyFill="1" applyBorder="1" applyAlignment="1">
      <alignment horizontal="center" vertical="center"/>
    </xf>
    <xf numFmtId="0" fontId="24" fillId="2" borderId="39" xfId="2" applyFont="1" applyFill="1" applyBorder="1" applyAlignment="1">
      <alignment horizontal="center" vertical="center"/>
    </xf>
    <xf numFmtId="0" fontId="25" fillId="0" borderId="39" xfId="2" applyFont="1" applyBorder="1" applyAlignment="1">
      <alignment horizontal="center" vertical="center" wrapText="1"/>
    </xf>
    <xf numFmtId="0" fontId="25" fillId="0" borderId="42" xfId="2" applyFont="1" applyBorder="1" applyAlignment="1">
      <alignment horizontal="center" vertical="center" wrapText="1"/>
    </xf>
    <xf numFmtId="0" fontId="27" fillId="0" borderId="29" xfId="2" applyFont="1" applyBorder="1" applyAlignment="1">
      <alignment horizontal="center" vertical="center"/>
    </xf>
    <xf numFmtId="176" fontId="27" fillId="0" borderId="22" xfId="2" applyNumberFormat="1" applyFont="1" applyBorder="1" applyAlignment="1">
      <alignment horizontal="center" vertical="center"/>
    </xf>
    <xf numFmtId="20" fontId="27" fillId="0" borderId="22" xfId="2" applyNumberFormat="1" applyFont="1" applyBorder="1" applyAlignment="1">
      <alignment horizontal="center" vertical="center"/>
    </xf>
    <xf numFmtId="20" fontId="28" fillId="0" borderId="22" xfId="2" applyNumberFormat="1" applyFont="1" applyBorder="1" applyAlignment="1">
      <alignment horizontal="center" vertical="center"/>
    </xf>
    <xf numFmtId="0" fontId="29" fillId="0" borderId="22" xfId="2" applyFont="1" applyBorder="1" applyAlignment="1">
      <alignment horizontal="center" vertical="center" wrapText="1"/>
    </xf>
    <xf numFmtId="0" fontId="27" fillId="0" borderId="22" xfId="2" applyFont="1" applyBorder="1" applyAlignment="1">
      <alignment horizontal="center" vertical="center"/>
    </xf>
    <xf numFmtId="0" fontId="29" fillId="0" borderId="22" xfId="2" applyFont="1" applyBorder="1" applyAlignment="1">
      <alignment vertical="center" wrapText="1"/>
    </xf>
    <xf numFmtId="0" fontId="27" fillId="0" borderId="45" xfId="2" applyFont="1" applyBorder="1" applyAlignment="1">
      <alignment horizontal="center" vertical="center" wrapText="1"/>
    </xf>
    <xf numFmtId="0" fontId="30" fillId="0" borderId="0" xfId="2" applyFont="1">
      <alignment vertical="center"/>
    </xf>
    <xf numFmtId="0" fontId="17" fillId="0" borderId="0" xfId="3">
      <alignment vertical="center"/>
    </xf>
    <xf numFmtId="0" fontId="1" fillId="0" borderId="0" xfId="2">
      <alignment vertical="center"/>
    </xf>
    <xf numFmtId="0" fontId="31" fillId="0" borderId="39" xfId="2" applyFont="1" applyBorder="1" applyAlignment="1">
      <alignment horizontal="center" vertical="center" wrapText="1"/>
    </xf>
    <xf numFmtId="0" fontId="31" fillId="0" borderId="42" xfId="2" applyFont="1" applyBorder="1" applyAlignment="1">
      <alignment horizontal="center" vertical="center" wrapText="1"/>
    </xf>
    <xf numFmtId="177" fontId="29" fillId="0" borderId="22" xfId="2" applyNumberFormat="1" applyFont="1" applyBorder="1" applyAlignment="1">
      <alignment horizontal="center" vertical="center"/>
    </xf>
    <xf numFmtId="0" fontId="32" fillId="0" borderId="23" xfId="2" applyFont="1" applyBorder="1" applyAlignment="1">
      <alignment horizontal="center" vertical="center" wrapText="1"/>
    </xf>
    <xf numFmtId="0" fontId="29" fillId="0" borderId="44" xfId="2" applyFont="1" applyBorder="1" applyAlignment="1">
      <alignment horizontal="center" vertical="center" wrapText="1"/>
    </xf>
    <xf numFmtId="0" fontId="29" fillId="0" borderId="23" xfId="2" applyFont="1" applyBorder="1" applyAlignment="1">
      <alignment horizontal="center" vertical="center" wrapText="1"/>
    </xf>
    <xf numFmtId="0" fontId="29" fillId="0" borderId="44" xfId="2" applyFont="1" applyBorder="1" applyAlignment="1">
      <alignment horizontal="center" vertical="center"/>
    </xf>
    <xf numFmtId="0" fontId="29" fillId="0" borderId="24" xfId="2" applyFont="1" applyBorder="1" applyAlignment="1">
      <alignment horizontal="center" vertical="center" wrapText="1"/>
    </xf>
    <xf numFmtId="0" fontId="27" fillId="0" borderId="46" xfId="2" applyFont="1" applyBorder="1" applyAlignment="1">
      <alignment horizontal="center" vertical="center" wrapText="1"/>
    </xf>
    <xf numFmtId="0" fontId="34" fillId="5" borderId="49" xfId="1" applyFont="1" applyFill="1" applyBorder="1" applyAlignment="1">
      <alignment horizontal="center" vertical="center"/>
    </xf>
    <xf numFmtId="176" fontId="34" fillId="5" borderId="49" xfId="1" applyNumberFormat="1" applyFont="1" applyFill="1" applyBorder="1" applyAlignment="1">
      <alignment horizontal="center" vertical="center"/>
    </xf>
    <xf numFmtId="20" fontId="34" fillId="5" borderId="49" xfId="1" applyNumberFormat="1" applyFont="1" applyFill="1" applyBorder="1" applyAlignment="1">
      <alignment horizontal="center" vertical="center"/>
    </xf>
    <xf numFmtId="0" fontId="34" fillId="5" borderId="49" xfId="1" applyFont="1" applyFill="1" applyBorder="1" applyAlignment="1">
      <alignment horizontal="center" vertical="center" wrapText="1"/>
    </xf>
    <xf numFmtId="0" fontId="34" fillId="5" borderId="49" xfId="1" applyFont="1" applyFill="1" applyBorder="1" applyAlignment="1">
      <alignment vertical="center" wrapText="1"/>
    </xf>
    <xf numFmtId="0" fontId="34" fillId="5" borderId="50" xfId="1" applyFont="1" applyFill="1" applyBorder="1" applyAlignment="1">
      <alignment horizontal="center" vertical="center" wrapText="1"/>
    </xf>
    <xf numFmtId="0" fontId="35" fillId="5" borderId="51" xfId="3" applyFont="1" applyFill="1" applyBorder="1">
      <alignment vertical="center"/>
    </xf>
    <xf numFmtId="0" fontId="36" fillId="0" borderId="0" xfId="3" applyFont="1">
      <alignment vertical="center"/>
    </xf>
    <xf numFmtId="0" fontId="26" fillId="0" borderId="0" xfId="2" applyFont="1" applyAlignment="1">
      <alignment horizontal="center" vertical="center"/>
    </xf>
    <xf numFmtId="0" fontId="30" fillId="0" borderId="0" xfId="3" applyFont="1">
      <alignment vertical="center"/>
    </xf>
    <xf numFmtId="0" fontId="32" fillId="5" borderId="27" xfId="1" applyFont="1" applyFill="1" applyBorder="1" applyAlignment="1">
      <alignment horizontal="center" vertical="center" wrapText="1"/>
    </xf>
    <xf numFmtId="0" fontId="39" fillId="0" borderId="0" xfId="2" applyFont="1" applyAlignment="1">
      <alignment horizontal="center" vertical="center"/>
    </xf>
    <xf numFmtId="0" fontId="39" fillId="5" borderId="26" xfId="1" applyFont="1" applyFill="1" applyBorder="1" applyAlignment="1">
      <alignment horizontal="center" vertical="center"/>
    </xf>
    <xf numFmtId="176" fontId="39" fillId="5" borderId="26" xfId="1" applyNumberFormat="1" applyFont="1" applyFill="1" applyBorder="1" applyAlignment="1">
      <alignment horizontal="center" vertical="center"/>
    </xf>
    <xf numFmtId="20" fontId="39" fillId="5" borderId="26" xfId="1" applyNumberFormat="1" applyFont="1" applyFill="1" applyBorder="1" applyAlignment="1">
      <alignment horizontal="center" vertical="center"/>
    </xf>
    <xf numFmtId="177" fontId="39" fillId="5" borderId="26" xfId="1" applyNumberFormat="1" applyFont="1" applyFill="1" applyBorder="1" applyAlignment="1">
      <alignment horizontal="center" vertical="center"/>
    </xf>
    <xf numFmtId="0" fontId="39" fillId="5" borderId="26" xfId="1" applyFont="1" applyFill="1" applyBorder="1" applyAlignment="1">
      <alignment horizontal="center" vertical="center" wrapText="1"/>
    </xf>
    <xf numFmtId="0" fontId="39" fillId="5" borderId="26" xfId="1" applyFont="1" applyFill="1" applyBorder="1" applyAlignment="1">
      <alignment vertical="center" wrapText="1"/>
    </xf>
    <xf numFmtId="0" fontId="39" fillId="5" borderId="27" xfId="1" applyFont="1" applyFill="1" applyBorder="1" applyAlignment="1">
      <alignment horizontal="center" vertical="center" wrapText="1"/>
    </xf>
    <xf numFmtId="0" fontId="39" fillId="0" borderId="0" xfId="3" applyFont="1">
      <alignment vertical="center"/>
    </xf>
    <xf numFmtId="0" fontId="39" fillId="0" borderId="0" xfId="1" applyFont="1">
      <alignment vertical="center"/>
    </xf>
    <xf numFmtId="0" fontId="41" fillId="0" borderId="0" xfId="2" applyFont="1" applyAlignment="1">
      <alignment horizontal="center" vertical="center"/>
    </xf>
    <xf numFmtId="0" fontId="5" fillId="0" borderId="22" xfId="1" applyFont="1" applyBorder="1" applyAlignment="1">
      <alignment horizontal="center" vertical="center" wrapText="1"/>
    </xf>
    <xf numFmtId="0" fontId="9" fillId="0" borderId="23" xfId="1" applyFont="1" applyBorder="1" applyAlignment="1">
      <alignment vertical="center" wrapText="1"/>
    </xf>
    <xf numFmtId="0" fontId="9" fillId="0" borderId="24" xfId="1" applyFont="1" applyBorder="1">
      <alignment vertical="center"/>
    </xf>
    <xf numFmtId="0" fontId="9" fillId="3" borderId="21" xfId="1" applyFont="1" applyFill="1" applyBorder="1" applyAlignment="1">
      <alignment horizontal="center" vertical="center"/>
    </xf>
    <xf numFmtId="0" fontId="5" fillId="0" borderId="53" xfId="1" applyFont="1" applyBorder="1" applyAlignment="1">
      <alignment horizontal="center" vertical="center"/>
    </xf>
    <xf numFmtId="0" fontId="9" fillId="0" borderId="54" xfId="1" applyFont="1" applyBorder="1" applyAlignment="1">
      <alignment horizontal="center" vertical="center"/>
    </xf>
    <xf numFmtId="0" fontId="9" fillId="0" borderId="55" xfId="1" applyFont="1" applyBorder="1" applyAlignment="1">
      <alignment horizontal="center" vertical="center"/>
    </xf>
    <xf numFmtId="176" fontId="9" fillId="0" borderId="55" xfId="1" applyNumberFormat="1" applyFont="1" applyBorder="1" applyAlignment="1">
      <alignment horizontal="center" vertical="center"/>
    </xf>
    <xf numFmtId="20" fontId="9" fillId="0" borderId="55" xfId="1" applyNumberFormat="1" applyFont="1" applyBorder="1" applyAlignment="1">
      <alignment horizontal="center" vertical="center"/>
    </xf>
    <xf numFmtId="177" fontId="9" fillId="0" borderId="55" xfId="1" applyNumberFormat="1" applyFont="1" applyBorder="1" applyAlignment="1">
      <alignment horizontal="center" vertical="center"/>
    </xf>
    <xf numFmtId="0" fontId="9" fillId="0" borderId="55" xfId="1" applyFont="1" applyBorder="1" applyAlignment="1">
      <alignment horizontal="center" vertical="center" wrapText="1"/>
    </xf>
    <xf numFmtId="0" fontId="9" fillId="0" borderId="55" xfId="1" applyFont="1" applyBorder="1" applyAlignment="1">
      <alignment vertical="center" wrapText="1"/>
    </xf>
    <xf numFmtId="0" fontId="5" fillId="0" borderId="56" xfId="1" applyFont="1" applyBorder="1" applyAlignment="1">
      <alignment horizontal="center" vertical="center" wrapText="1"/>
    </xf>
    <xf numFmtId="0" fontId="27" fillId="0" borderId="22" xfId="2" applyFont="1" applyBorder="1" applyAlignment="1">
      <alignment horizontal="center" vertical="center" wrapText="1"/>
    </xf>
    <xf numFmtId="0" fontId="29" fillId="0" borderId="22" xfId="2" applyFont="1" applyBorder="1" applyAlignment="1">
      <alignment horizontal="left" vertical="center" wrapText="1"/>
    </xf>
    <xf numFmtId="0" fontId="29" fillId="0" borderId="45" xfId="2" applyFont="1" applyBorder="1" applyAlignment="1">
      <alignment horizontal="center" vertical="center" wrapText="1"/>
    </xf>
    <xf numFmtId="0" fontId="29" fillId="0" borderId="23" xfId="2" applyFont="1" applyBorder="1" applyAlignment="1">
      <alignment horizontal="center" vertical="center"/>
    </xf>
    <xf numFmtId="177" fontId="29" fillId="0" borderId="45" xfId="2" applyNumberFormat="1" applyFont="1" applyBorder="1" applyAlignment="1">
      <alignment horizontal="center" vertical="center"/>
    </xf>
    <xf numFmtId="0" fontId="29" fillId="0" borderId="22" xfId="2" applyFont="1" applyBorder="1" applyAlignment="1">
      <alignment horizontal="center" vertical="top" wrapText="1"/>
    </xf>
    <xf numFmtId="0" fontId="29" fillId="0" borderId="57" xfId="2" applyFont="1" applyBorder="1" applyAlignment="1">
      <alignment horizontal="center" vertical="center"/>
    </xf>
    <xf numFmtId="0" fontId="27" fillId="0" borderId="58" xfId="2" applyFont="1" applyBorder="1" applyAlignment="1">
      <alignment horizontal="center" vertical="center"/>
    </xf>
    <xf numFmtId="176" fontId="27" fillId="0" borderId="59" xfId="2" applyNumberFormat="1" applyFont="1" applyBorder="1" applyAlignment="1">
      <alignment horizontal="center" vertical="center"/>
    </xf>
    <xf numFmtId="20" fontId="27" fillId="0" borderId="59" xfId="2" applyNumberFormat="1" applyFont="1" applyBorder="1" applyAlignment="1">
      <alignment horizontal="center" vertical="center"/>
    </xf>
    <xf numFmtId="20" fontId="28" fillId="0" borderId="59" xfId="2" applyNumberFormat="1" applyFont="1" applyBorder="1" applyAlignment="1">
      <alignment horizontal="center" vertical="center"/>
    </xf>
    <xf numFmtId="177" fontId="29" fillId="0" borderId="59" xfId="2" applyNumberFormat="1" applyFont="1" applyBorder="1" applyAlignment="1">
      <alignment horizontal="center" vertical="center"/>
    </xf>
    <xf numFmtId="0" fontId="29" fillId="0" borderId="59" xfId="2" applyFont="1" applyBorder="1" applyAlignment="1">
      <alignment horizontal="center" vertical="center" wrapText="1"/>
    </xf>
    <xf numFmtId="0" fontId="27" fillId="0" borderId="59" xfId="2" applyFont="1" applyBorder="1" applyAlignment="1">
      <alignment horizontal="center" vertical="center" wrapText="1"/>
    </xf>
    <xf numFmtId="0" fontId="27" fillId="0" borderId="59" xfId="2" applyFont="1" applyBorder="1" applyAlignment="1">
      <alignment horizontal="center" vertical="center"/>
    </xf>
    <xf numFmtId="0" fontId="29" fillId="0" borderId="59" xfId="2" applyFont="1" applyBorder="1" applyAlignment="1">
      <alignment vertical="center" wrapText="1"/>
    </xf>
    <xf numFmtId="0" fontId="29" fillId="0" borderId="60" xfId="2" applyFont="1" applyBorder="1" applyAlignment="1">
      <alignment horizontal="center" vertical="center" wrapText="1"/>
    </xf>
    <xf numFmtId="0" fontId="29" fillId="0" borderId="61" xfId="2" applyFont="1" applyBorder="1">
      <alignment vertical="center"/>
    </xf>
    <xf numFmtId="0" fontId="29" fillId="0" borderId="62" xfId="2" applyFont="1" applyBorder="1" applyAlignment="1">
      <alignment horizontal="center" vertical="center"/>
    </xf>
    <xf numFmtId="0" fontId="27" fillId="0" borderId="63" xfId="2" applyFont="1" applyBorder="1" applyAlignment="1">
      <alignment horizontal="center" vertical="center"/>
    </xf>
    <xf numFmtId="176" fontId="27" fillId="0" borderId="55" xfId="2" applyNumberFormat="1" applyFont="1" applyBorder="1" applyAlignment="1">
      <alignment horizontal="center" vertical="center"/>
    </xf>
    <xf numFmtId="20" fontId="27" fillId="0" borderId="55" xfId="2" applyNumberFormat="1" applyFont="1" applyBorder="1" applyAlignment="1">
      <alignment horizontal="center" vertical="center"/>
    </xf>
    <xf numFmtId="20" fontId="28" fillId="0" borderId="55" xfId="2" applyNumberFormat="1" applyFont="1" applyBorder="1" applyAlignment="1">
      <alignment horizontal="center" vertical="center"/>
    </xf>
    <xf numFmtId="177" fontId="29" fillId="0" borderId="55" xfId="2" applyNumberFormat="1" applyFont="1" applyBorder="1" applyAlignment="1">
      <alignment horizontal="center" vertical="center"/>
    </xf>
    <xf numFmtId="0" fontId="29" fillId="0" borderId="55" xfId="2" applyFont="1" applyBorder="1" applyAlignment="1">
      <alignment horizontal="center" vertical="center" wrapText="1"/>
    </xf>
    <xf numFmtId="0" fontId="27" fillId="0" borderId="55" xfId="2" applyFont="1" applyBorder="1" applyAlignment="1">
      <alignment horizontal="center" vertical="center"/>
    </xf>
    <xf numFmtId="0" fontId="29" fillId="0" borderId="55" xfId="2" applyFont="1" applyBorder="1" applyAlignment="1">
      <alignment vertical="center" wrapText="1"/>
    </xf>
    <xf numFmtId="0" fontId="29" fillId="0" borderId="56" xfId="2" applyFont="1" applyBorder="1" applyAlignment="1">
      <alignment horizontal="center" vertical="center" wrapText="1"/>
    </xf>
    <xf numFmtId="0" fontId="29" fillId="0" borderId="64" xfId="2" applyFont="1" applyBorder="1" applyAlignment="1">
      <alignment horizontal="center" vertical="center" wrapText="1"/>
    </xf>
    <xf numFmtId="0" fontId="36" fillId="0" borderId="0" xfId="3" applyFont="1" applyAlignment="1">
      <alignment horizontal="center" vertical="center"/>
    </xf>
    <xf numFmtId="0" fontId="17" fillId="0" borderId="0" xfId="3" applyAlignment="1">
      <alignment horizontal="center" vertical="center"/>
    </xf>
    <xf numFmtId="0" fontId="41" fillId="0" borderId="0" xfId="3" applyFont="1" applyAlignment="1">
      <alignment horizontal="center" vertical="center"/>
    </xf>
    <xf numFmtId="0" fontId="29" fillId="0" borderId="65" xfId="2" applyFont="1" applyBorder="1" applyAlignment="1">
      <alignment horizontal="center" vertical="center"/>
    </xf>
    <xf numFmtId="0" fontId="29" fillId="0" borderId="66" xfId="2" applyFont="1" applyBorder="1" applyAlignment="1">
      <alignment horizontal="center" vertical="center" wrapText="1"/>
    </xf>
    <xf numFmtId="0" fontId="27" fillId="0" borderId="61" xfId="2" applyFont="1" applyBorder="1" applyAlignment="1">
      <alignment horizontal="center" vertical="center" wrapText="1"/>
    </xf>
    <xf numFmtId="0" fontId="29" fillId="0" borderId="67" xfId="2" applyFont="1" applyBorder="1" applyAlignment="1">
      <alignment horizontal="center" vertical="center"/>
    </xf>
    <xf numFmtId="0" fontId="29" fillId="0" borderId="22" xfId="2" applyFont="1" applyBorder="1" applyAlignment="1">
      <alignment horizontal="center" vertical="center"/>
    </xf>
    <xf numFmtId="0" fontId="29" fillId="0" borderId="55" xfId="2" applyFont="1" applyBorder="1" applyAlignment="1">
      <alignment horizontal="center" vertical="center"/>
    </xf>
    <xf numFmtId="0" fontId="27" fillId="0" borderId="69" xfId="2" applyFont="1" applyBorder="1" applyAlignment="1">
      <alignment horizontal="center" vertical="center" wrapText="1"/>
    </xf>
    <xf numFmtId="0" fontId="28" fillId="4" borderId="59" xfId="2" applyFont="1" applyFill="1" applyBorder="1" applyAlignment="1">
      <alignment horizontal="center" vertical="center"/>
    </xf>
    <xf numFmtId="0" fontId="28" fillId="4" borderId="22" xfId="2" applyFont="1" applyFill="1" applyBorder="1" applyAlignment="1">
      <alignment horizontal="center" vertical="center"/>
    </xf>
    <xf numFmtId="0" fontId="28" fillId="4" borderId="55" xfId="2" applyFont="1" applyFill="1" applyBorder="1" applyAlignment="1">
      <alignment horizontal="center" vertical="center"/>
    </xf>
    <xf numFmtId="0" fontId="32" fillId="6" borderId="60" xfId="2" applyFont="1" applyFill="1" applyBorder="1" applyAlignment="1">
      <alignment horizontal="center" vertical="center" wrapText="1"/>
    </xf>
    <xf numFmtId="0" fontId="32" fillId="6" borderId="23" xfId="2" applyFont="1" applyFill="1" applyBorder="1" applyAlignment="1">
      <alignment horizontal="center" vertical="center" wrapText="1"/>
    </xf>
    <xf numFmtId="0" fontId="32" fillId="6" borderId="56" xfId="2" applyFont="1" applyFill="1" applyBorder="1" applyAlignment="1">
      <alignment horizontal="center" vertical="center" wrapText="1"/>
    </xf>
    <xf numFmtId="0" fontId="42" fillId="2" borderId="55" xfId="1" applyFont="1" applyFill="1" applyBorder="1" applyAlignment="1">
      <alignment horizontal="center" vertical="center" wrapText="1"/>
    </xf>
    <xf numFmtId="0" fontId="40" fillId="2" borderId="5" xfId="1" applyFont="1" applyFill="1" applyBorder="1" applyAlignment="1">
      <alignment horizontal="center" vertical="center"/>
    </xf>
    <xf numFmtId="0" fontId="40" fillId="2" borderId="8" xfId="1" applyFont="1" applyFill="1" applyBorder="1" applyAlignment="1">
      <alignment horizontal="center" vertical="center"/>
    </xf>
    <xf numFmtId="0" fontId="40" fillId="2" borderId="9" xfId="1" applyFont="1" applyFill="1" applyBorder="1" applyAlignment="1">
      <alignment horizontal="center" vertical="center"/>
    </xf>
    <xf numFmtId="0" fontId="40" fillId="2" borderId="10" xfId="1" applyFont="1" applyFill="1" applyBorder="1" applyAlignment="1">
      <alignment horizontal="center" vertical="center"/>
    </xf>
    <xf numFmtId="0" fontId="5" fillId="6" borderId="18" xfId="1" applyFont="1" applyFill="1" applyBorder="1" applyAlignment="1">
      <alignment horizontal="center" vertical="center" wrapText="1"/>
    </xf>
    <xf numFmtId="0" fontId="9" fillId="6" borderId="23" xfId="1" applyFont="1" applyFill="1" applyBorder="1" applyAlignment="1">
      <alignment horizontal="center" vertical="center" wrapText="1"/>
    </xf>
    <xf numFmtId="0" fontId="9" fillId="6" borderId="23" xfId="1" applyFont="1" applyFill="1" applyBorder="1" applyAlignment="1">
      <alignment horizontal="center" vertical="center"/>
    </xf>
    <xf numFmtId="0" fontId="5" fillId="6" borderId="23" xfId="1" applyFont="1" applyFill="1" applyBorder="1" applyAlignment="1">
      <alignment horizontal="center" vertical="center" wrapText="1"/>
    </xf>
    <xf numFmtId="0" fontId="15" fillId="6" borderId="23" xfId="1" applyFont="1" applyFill="1" applyBorder="1" applyAlignment="1">
      <alignment horizontal="centerContinuous" vertical="center" wrapText="1"/>
    </xf>
    <xf numFmtId="0" fontId="9" fillId="6" borderId="23" xfId="1" applyFont="1" applyFill="1" applyBorder="1" applyAlignment="1">
      <alignment vertical="center" wrapText="1"/>
    </xf>
    <xf numFmtId="0" fontId="9" fillId="6" borderId="30" xfId="1" applyFont="1" applyFill="1" applyBorder="1" applyAlignment="1">
      <alignment horizontal="center" vertical="center"/>
    </xf>
    <xf numFmtId="0" fontId="9" fillId="4" borderId="17" xfId="1" applyFont="1" applyFill="1" applyBorder="1" applyAlignment="1">
      <alignment horizontal="center" vertical="center"/>
    </xf>
    <xf numFmtId="0" fontId="9" fillId="4" borderId="22" xfId="1" applyFont="1" applyFill="1" applyBorder="1" applyAlignment="1">
      <alignment horizontal="center" vertical="center"/>
    </xf>
    <xf numFmtId="0" fontId="9" fillId="4" borderId="55" xfId="1" applyFont="1" applyFill="1" applyBorder="1" applyAlignment="1">
      <alignment horizontal="center" vertical="center"/>
    </xf>
    <xf numFmtId="0" fontId="45" fillId="6" borderId="50" xfId="1" applyFont="1" applyFill="1" applyBorder="1" applyAlignment="1">
      <alignment horizontal="center" vertical="center" wrapText="1"/>
    </xf>
    <xf numFmtId="0" fontId="46" fillId="4" borderId="49" xfId="1" applyFont="1" applyFill="1" applyBorder="1" applyAlignment="1">
      <alignment horizontal="center" vertical="center"/>
    </xf>
    <xf numFmtId="177" fontId="47" fillId="5" borderId="49" xfId="1" applyNumberFormat="1" applyFont="1" applyFill="1" applyBorder="1" applyAlignment="1">
      <alignment horizontal="center" vertical="center"/>
    </xf>
    <xf numFmtId="0" fontId="46" fillId="4" borderId="26" xfId="1" applyFont="1" applyFill="1" applyBorder="1" applyAlignment="1">
      <alignment horizontal="center" vertical="center"/>
    </xf>
    <xf numFmtId="0" fontId="29" fillId="6" borderId="60" xfId="2" applyFont="1" applyFill="1" applyBorder="1" applyAlignment="1">
      <alignment horizontal="center" vertical="center" wrapText="1"/>
    </xf>
    <xf numFmtId="0" fontId="29" fillId="6" borderId="23" xfId="2" applyFont="1" applyFill="1" applyBorder="1" applyAlignment="1">
      <alignment horizontal="center" vertical="center" wrapText="1"/>
    </xf>
    <xf numFmtId="0" fontId="29" fillId="6" borderId="23" xfId="2" applyFont="1" applyFill="1" applyBorder="1" applyAlignment="1">
      <alignment horizontal="center" vertical="center"/>
    </xf>
    <xf numFmtId="0" fontId="29" fillId="6" borderId="56" xfId="2" applyFont="1" applyFill="1" applyBorder="1" applyAlignment="1">
      <alignment horizontal="center" vertical="center" wrapText="1"/>
    </xf>
    <xf numFmtId="0" fontId="45" fillId="6" borderId="27" xfId="1" applyFont="1" applyFill="1" applyBorder="1" applyAlignment="1">
      <alignment horizontal="center" vertical="center" wrapText="1"/>
    </xf>
    <xf numFmtId="0" fontId="37" fillId="4" borderId="26" xfId="1" applyFont="1" applyFill="1" applyBorder="1" applyAlignment="1">
      <alignment horizontal="center" vertical="center"/>
    </xf>
    <xf numFmtId="0" fontId="37" fillId="6" borderId="27" xfId="1" applyFont="1" applyFill="1" applyBorder="1" applyAlignment="1">
      <alignment horizontal="center" vertical="center" wrapText="1"/>
    </xf>
    <xf numFmtId="0" fontId="38" fillId="5" borderId="27" xfId="1" applyFont="1" applyFill="1" applyBorder="1" applyAlignment="1">
      <alignment horizontal="center" vertical="center" wrapText="1"/>
    </xf>
    <xf numFmtId="0" fontId="47" fillId="5" borderId="50" xfId="1" applyFont="1" applyFill="1" applyBorder="1" applyAlignment="1">
      <alignment horizontal="center" vertical="center" wrapText="1"/>
    </xf>
    <xf numFmtId="0" fontId="48" fillId="0" borderId="68" xfId="2" applyFont="1" applyBorder="1" applyAlignment="1">
      <alignment horizontal="center" vertical="center"/>
    </xf>
    <xf numFmtId="176" fontId="49" fillId="0" borderId="55" xfId="2" applyNumberFormat="1" applyFont="1" applyBorder="1" applyAlignment="1">
      <alignment horizontal="center" vertical="center"/>
    </xf>
    <xf numFmtId="0" fontId="50" fillId="0" borderId="45" xfId="2" applyFont="1" applyBorder="1" applyAlignment="1">
      <alignment horizontal="center" vertical="center" wrapText="1"/>
    </xf>
    <xf numFmtId="0" fontId="34" fillId="5" borderId="47" xfId="1" applyFont="1" applyFill="1" applyBorder="1" applyAlignment="1">
      <alignment horizontal="center" vertical="center"/>
    </xf>
    <xf numFmtId="0" fontId="34" fillId="5" borderId="48" xfId="1" applyFont="1" applyFill="1" applyBorder="1" applyAlignment="1">
      <alignment horizontal="center" vertical="center"/>
    </xf>
    <xf numFmtId="0" fontId="23" fillId="2" borderId="34" xfId="2" applyFont="1" applyFill="1" applyBorder="1" applyAlignment="1">
      <alignment horizontal="center" vertical="center"/>
    </xf>
    <xf numFmtId="0" fontId="23" fillId="2" borderId="39" xfId="2" applyFont="1" applyFill="1" applyBorder="1" applyAlignment="1">
      <alignment horizontal="center" vertical="center"/>
    </xf>
    <xf numFmtId="0" fontId="23" fillId="6" borderId="34" xfId="2" applyFont="1" applyFill="1" applyBorder="1" applyAlignment="1">
      <alignment horizontal="center" vertical="center" wrapText="1"/>
    </xf>
    <xf numFmtId="0" fontId="23" fillId="6" borderId="39" xfId="2" applyFont="1" applyFill="1" applyBorder="1" applyAlignment="1">
      <alignment horizontal="center" vertical="center" wrapText="1"/>
    </xf>
    <xf numFmtId="0" fontId="25" fillId="2" borderId="34" xfId="2" applyFont="1" applyFill="1" applyBorder="1" applyAlignment="1">
      <alignment horizontal="center" vertical="center"/>
    </xf>
    <xf numFmtId="0" fontId="25" fillId="2" borderId="35" xfId="2" applyFont="1" applyFill="1" applyBorder="1" applyAlignment="1">
      <alignment horizontal="center" vertical="center"/>
    </xf>
    <xf numFmtId="0" fontId="25" fillId="2" borderId="36" xfId="2" applyFont="1" applyFill="1" applyBorder="1" applyAlignment="1">
      <alignment horizontal="center" vertical="center"/>
    </xf>
    <xf numFmtId="0" fontId="23" fillId="2" borderId="37" xfId="2" applyFont="1" applyFill="1" applyBorder="1" applyAlignment="1">
      <alignment horizontal="center" vertical="center" wrapText="1"/>
    </xf>
    <xf numFmtId="0" fontId="23" fillId="2" borderId="43" xfId="2" applyFont="1" applyFill="1" applyBorder="1" applyAlignment="1">
      <alignment horizontal="center" vertical="center" wrapText="1"/>
    </xf>
    <xf numFmtId="0" fontId="23" fillId="2" borderId="33" xfId="2" applyFont="1" applyFill="1" applyBorder="1" applyAlignment="1">
      <alignment horizontal="center" vertical="center"/>
    </xf>
    <xf numFmtId="0" fontId="23" fillId="2" borderId="38" xfId="2" applyFont="1" applyFill="1" applyBorder="1" applyAlignment="1">
      <alignment horizontal="center" vertical="center"/>
    </xf>
    <xf numFmtId="0" fontId="24" fillId="4" borderId="34" xfId="2" applyFont="1" applyFill="1" applyBorder="1" applyAlignment="1">
      <alignment horizontal="center" vertical="center" wrapText="1"/>
    </xf>
    <xf numFmtId="0" fontId="24" fillId="4" borderId="39" xfId="2" applyFont="1" applyFill="1" applyBorder="1" applyAlignment="1">
      <alignment horizontal="center" vertical="center"/>
    </xf>
    <xf numFmtId="0" fontId="24" fillId="2" borderId="34" xfId="2" applyFont="1" applyFill="1" applyBorder="1" applyAlignment="1">
      <alignment horizontal="center" vertical="center"/>
    </xf>
    <xf numFmtId="0" fontId="18" fillId="0" borderId="52" xfId="2" applyFont="1" applyBorder="1" applyAlignment="1">
      <alignment horizontal="center" vertical="center"/>
    </xf>
    <xf numFmtId="0" fontId="39" fillId="5" borderId="7" xfId="1" applyFont="1" applyFill="1" applyBorder="1" applyAlignment="1">
      <alignment horizontal="center" vertical="center"/>
    </xf>
    <xf numFmtId="0" fontId="39" fillId="5" borderId="31" xfId="1" applyFont="1" applyFill="1" applyBorder="1" applyAlignment="1">
      <alignment horizontal="center" vertical="center"/>
    </xf>
    <xf numFmtId="0" fontId="1" fillId="0" borderId="14" xfId="1" applyBorder="1" applyAlignment="1">
      <alignment horizontal="center" vertical="center"/>
    </xf>
    <xf numFmtId="0" fontId="42" fillId="2" borderId="70" xfId="1" applyFont="1" applyFill="1" applyBorder="1" applyAlignment="1">
      <alignment horizontal="center" vertical="center"/>
    </xf>
    <xf numFmtId="0" fontId="42" fillId="2" borderId="5" xfId="1" applyFont="1" applyFill="1" applyBorder="1" applyAlignment="1">
      <alignment horizontal="center" vertical="center"/>
    </xf>
    <xf numFmtId="0" fontId="42" fillId="2" borderId="71" xfId="1" applyFont="1" applyFill="1" applyBorder="1" applyAlignment="1">
      <alignment horizontal="center" vertical="center"/>
    </xf>
    <xf numFmtId="0" fontId="44" fillId="6" borderId="34" xfId="2" applyFont="1" applyFill="1" applyBorder="1" applyAlignment="1">
      <alignment horizontal="center" vertical="center" wrapText="1"/>
    </xf>
    <xf numFmtId="0" fontId="44" fillId="6" borderId="39" xfId="2" applyFont="1" applyFill="1" applyBorder="1" applyAlignment="1">
      <alignment horizontal="center" vertical="center" wrapText="1"/>
    </xf>
    <xf numFmtId="0" fontId="11" fillId="5" borderId="7" xfId="1" applyFont="1" applyFill="1" applyBorder="1" applyAlignment="1">
      <alignment horizontal="center" vertical="center"/>
    </xf>
    <xf numFmtId="0" fontId="11" fillId="5" borderId="31" xfId="1" applyFont="1" applyFill="1" applyBorder="1" applyAlignment="1">
      <alignment horizontal="center" vertical="center"/>
    </xf>
    <xf numFmtId="0" fontId="40" fillId="2" borderId="6" xfId="1" applyFont="1" applyFill="1" applyBorder="1" applyAlignment="1">
      <alignment horizontal="center" vertical="center"/>
    </xf>
    <xf numFmtId="0" fontId="40" fillId="2" borderId="11" xfId="1" applyFont="1" applyFill="1" applyBorder="1" applyAlignment="1">
      <alignment horizontal="center" vertical="center"/>
    </xf>
    <xf numFmtId="0" fontId="42" fillId="2" borderId="6" xfId="1" applyFont="1" applyFill="1" applyBorder="1" applyAlignment="1">
      <alignment horizontal="center" vertical="center"/>
    </xf>
    <xf numFmtId="0" fontId="42" fillId="2" borderId="11" xfId="1" applyFont="1" applyFill="1" applyBorder="1" applyAlignment="1">
      <alignment horizontal="center" vertical="center"/>
    </xf>
    <xf numFmtId="0" fontId="9" fillId="6" borderId="22" xfId="1" applyFont="1" applyFill="1" applyBorder="1" applyAlignment="1">
      <alignment horizontal="center" vertical="center"/>
    </xf>
    <xf numFmtId="0" fontId="9" fillId="6" borderId="55" xfId="1" applyFont="1" applyFill="1" applyBorder="1" applyAlignment="1">
      <alignment horizontal="center" vertical="center"/>
    </xf>
    <xf numFmtId="0" fontId="42" fillId="2" borderId="2" xfId="1" applyFont="1" applyFill="1" applyBorder="1" applyAlignment="1">
      <alignment horizontal="center" vertical="center"/>
    </xf>
    <xf numFmtId="0" fontId="43" fillId="4" borderId="34" xfId="2" applyFont="1" applyFill="1" applyBorder="1" applyAlignment="1">
      <alignment horizontal="center" vertical="center" wrapText="1"/>
    </xf>
    <xf numFmtId="0" fontId="43" fillId="4" borderId="39" xfId="2" applyFont="1" applyFill="1" applyBorder="1" applyAlignment="1">
      <alignment horizontal="center" vertical="center"/>
    </xf>
    <xf numFmtId="0" fontId="40" fillId="2" borderId="3" xfId="1" applyFont="1" applyFill="1" applyBorder="1" applyAlignment="1">
      <alignment horizontal="center" vertical="center"/>
    </xf>
    <xf numFmtId="0" fontId="40" fillId="2" borderId="4" xfId="1" applyFont="1" applyFill="1" applyBorder="1" applyAlignment="1">
      <alignment horizontal="center" vertical="center"/>
    </xf>
  </cellXfs>
  <cellStyles count="4">
    <cellStyle name="표준" xfId="0" builtinId="0"/>
    <cellStyle name="표준 2" xfId="3" xr:uid="{0C944644-DD86-46CD-AAAA-E67631D01549}"/>
    <cellStyle name="표준 6" xfId="1" xr:uid="{42D5BFBD-85A8-4FBE-8870-6E1F7675CF33}"/>
    <cellStyle name="표준 6 2" xfId="2" xr:uid="{CC8AF9D5-F1D0-416E-B7C8-E7196EC9D96E}"/>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alcChain" Target="calcChain.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INDOWS/Temporary%20Internet%20Files/Content.IE5/CHQTCWA7/_o270fo4e3ng8rrhohovg13ftp270q8a1m_.5)-95(1).xls" TargetMode="External"/><Relationship Id="rId1" Type="http://schemas.openxmlformats.org/officeDocument/2006/relationships/externalLinkPath" Target="/WINDOWS/Temporary%20Internet%20Files/Content.IE5/CHQTCWA7/_o270fo4e3ng8rrhohovg13ftp270q8a1m_.5)-9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WINDOWS/TEMP/&#44608;&#49345;&#51652;2&#51665;/&#44592;&#53440;&#48512;&#45824;1&#52264;/&#48169;&#49688;&#47196;&#47588;&#47549;/&#49444;&#44228;&#49436;/&#53664;&#47785;/&#49444;&#44228;&#49436;/My%20Documents/HYUNWOO/&#44032;&#47932;&#49444;&#44228;.XLS" TargetMode="External"/><Relationship Id="rId1" Type="http://schemas.openxmlformats.org/officeDocument/2006/relationships/externalLinkPath" Target="/WINDOWS/TEMP/&#44608;&#49345;&#51652;2&#51665;/&#44592;&#53440;&#48512;&#45824;1&#52264;/&#48169;&#49688;&#47196;&#47588;&#47549;/&#49444;&#44228;&#49436;/&#53664;&#47785;/&#49444;&#44228;&#49436;/My%20Documents/HYUNWOO/&#44032;&#47932;&#49444;&#442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 val="기존구조물깨기_1"/>
      <sheetName val="진행_DATA_(2)"/>
      <sheetName val="기존구조물깨기_2"/>
      <sheetName val="진행_DATA_(2)1"/>
      <sheetName val="기존구조물깨기_3"/>
      <sheetName val="진행_DATA_(2)2"/>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 val="2F_회의실견적(5_14_일대)3"/>
      <sheetName val="화재_탐지_설비3"/>
      <sheetName val="Project_Brief2"/>
      <sheetName val="_냉각수펌프1"/>
      <sheetName val="1차_내역서1"/>
      <sheetName val="노원열병합__건축공사기성내역서1"/>
      <sheetName val="Labor_abs-NMR1"/>
      <sheetName val="2F_회의실견적(5_14_일대)4"/>
      <sheetName val="화재_탐지_설비4"/>
      <sheetName val="Project_Brief3"/>
      <sheetName val="_냉각수펌프2"/>
      <sheetName val="1차_내역서2"/>
      <sheetName val="노원열병합__건축공사기성내역서2"/>
      <sheetName val="Labor_abs-NMR2"/>
      <sheetName val="주식"/>
      <sheetName val="단가사정"/>
      <sheetName val="TIE-INS"/>
      <sheetName val="부속동"/>
      <sheetName val="bq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 val="취합표"/>
      <sheetName val="물량산출"/>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공종별_집계"/>
      <sheetName val="1_2_1_마루높이결정"/>
      <sheetName val="진행_DATA_(2)"/>
      <sheetName val="_내역"/>
      <sheetName val="시설장비"/>
      <sheetName val="교각토공"/>
      <sheetName val="각형맨홀"/>
      <sheetName val="kich thuoc"/>
      <sheetName val="DTHH"/>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TARG＠ͷ"/>
      <sheetName val="설䨕쟛ꀀ"/>
      <sheetName val="2.1  노무비 평균단가산출"/>
      <sheetName val="1차 내역서"/>
      <sheetName val="토적계산서"/>
      <sheetName val="예산조서"/>
      <sheetName val="1.우편집중내역서"/>
      <sheetName val="장비가동"/>
      <sheetName val="현장경비"/>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음봉방향"/>
      <sheetName val="GI-LIST"/>
      <sheetName val="가설건물"/>
      <sheetName val="총괄뀀"/>
      <sheetName val="원가계산(샷시포함총괄ESC)"/>
      <sheetName val="제잡비계산"/>
      <sheetName val="지불내역(장비비)"/>
      <sheetName val="차량구입"/>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row r="1">
          <cell r="A1" t="str">
            <v>단  종</v>
          </cell>
        </row>
      </sheetData>
      <sheetData sheetId="608"/>
      <sheetData sheetId="609">
        <row r="1">
          <cell r="A1" t="str">
            <v>단  종</v>
          </cell>
        </row>
      </sheetData>
      <sheetData sheetId="610"/>
      <sheetData sheetId="611">
        <row r="1">
          <cell r="A1" t="str">
            <v>단  종</v>
          </cell>
        </row>
      </sheetData>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
          <cell r="A1" t="str">
            <v>단  종</v>
          </cell>
        </row>
      </sheetData>
      <sheetData sheetId="1006">
        <row r="1">
          <cell r="A1" t="str">
            <v>단  종</v>
          </cell>
        </row>
      </sheetData>
      <sheetData sheetId="1007">
        <row r="1">
          <cell r="A1" t="str">
            <v>단  종</v>
          </cell>
        </row>
      </sheetData>
      <sheetData sheetId="1008">
        <row r="1">
          <cell r="A1" t="str">
            <v>단  종</v>
          </cell>
        </row>
      </sheetData>
      <sheetData sheetId="1009">
        <row r="1">
          <cell r="A1" t="str">
            <v>단  종</v>
          </cell>
        </row>
      </sheetData>
      <sheetData sheetId="1010">
        <row r="1">
          <cell r="A1" t="str">
            <v>단  종</v>
          </cell>
        </row>
      </sheetData>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row r="1">
          <cell r="A1" t="str">
            <v>단  종</v>
          </cell>
        </row>
      </sheetData>
      <sheetData sheetId="1189"/>
      <sheetData sheetId="1190"/>
      <sheetData sheetId="1191" refreshError="1"/>
      <sheetData sheetId="1192" refreshError="1"/>
      <sheetData sheetId="1193"/>
      <sheetData sheetId="1194"/>
      <sheetData sheetId="1195"/>
      <sheetData sheetId="1196"/>
      <sheetData sheetId="1197">
        <row r="1">
          <cell r="A1" t="str">
            <v>단  종</v>
          </cell>
        </row>
      </sheetData>
      <sheetData sheetId="1198"/>
      <sheetData sheetId="1199">
        <row r="1">
          <cell r="A1" t="str">
            <v>단  종</v>
          </cell>
        </row>
      </sheetData>
      <sheetData sheetId="1200"/>
      <sheetData sheetId="1201"/>
      <sheetData sheetId="1202">
        <row r="1">
          <cell r="A1" t="str">
            <v>단  종</v>
          </cell>
        </row>
      </sheetData>
      <sheetData sheetId="1203">
        <row r="1">
          <cell r="A1" t="str">
            <v>단  종</v>
          </cell>
        </row>
      </sheetData>
      <sheetData sheetId="1204"/>
      <sheetData sheetId="1205">
        <row r="1">
          <cell r="A1" t="str">
            <v>단  종</v>
          </cell>
        </row>
      </sheetData>
      <sheetData sheetId="1206">
        <row r="1">
          <cell r="A1" t="str">
            <v>단  종</v>
          </cell>
        </row>
      </sheetData>
      <sheetData sheetId="1207">
        <row r="1">
          <cell r="A1" t="str">
            <v>단  종</v>
          </cell>
        </row>
      </sheetData>
      <sheetData sheetId="1208"/>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sheetData sheetId="1218"/>
      <sheetData sheetId="1219">
        <row r="1">
          <cell r="A1" t="str">
            <v>단  종</v>
          </cell>
        </row>
      </sheetData>
      <sheetData sheetId="1220"/>
      <sheetData sheetId="1221"/>
      <sheetData sheetId="1222"/>
      <sheetData sheetId="1223">
        <row r="1">
          <cell r="A1" t="str">
            <v>단  종</v>
          </cell>
        </row>
      </sheetData>
      <sheetData sheetId="1224"/>
      <sheetData sheetId="1225"/>
      <sheetData sheetId="1226"/>
      <sheetData sheetId="1227"/>
      <sheetData sheetId="1228"/>
      <sheetData sheetId="1229"/>
      <sheetData sheetId="1230"/>
      <sheetData sheetId="1231"/>
      <sheetData sheetId="1232"/>
      <sheetData sheetId="1233"/>
      <sheetData sheetId="1234"/>
      <sheetData sheetId="1235">
        <row r="1">
          <cell r="A1" t="str">
            <v>단  종</v>
          </cell>
        </row>
      </sheetData>
      <sheetData sheetId="1236">
        <row r="1">
          <cell r="A1" t="str">
            <v>단  종</v>
          </cell>
        </row>
      </sheetData>
      <sheetData sheetId="1237"/>
      <sheetData sheetId="1238">
        <row r="1">
          <cell r="A1" t="str">
            <v>단  종</v>
          </cell>
        </row>
      </sheetData>
      <sheetData sheetId="1239">
        <row r="1">
          <cell r="A1" t="str">
            <v>단  종</v>
          </cell>
        </row>
      </sheetData>
      <sheetData sheetId="1240">
        <row r="1">
          <cell r="A1" t="str">
            <v>단  종</v>
          </cell>
        </row>
      </sheetData>
      <sheetData sheetId="1241"/>
      <sheetData sheetId="1242">
        <row r="1">
          <cell r="A1" t="str">
            <v>단  종</v>
          </cell>
        </row>
      </sheetData>
      <sheetData sheetId="1243">
        <row r="1">
          <cell r="A1" t="str">
            <v>단  종</v>
          </cell>
        </row>
      </sheetData>
      <sheetData sheetId="1244">
        <row r="1">
          <cell r="A1" t="str">
            <v>단  종</v>
          </cell>
        </row>
      </sheetData>
      <sheetData sheetId="1245"/>
      <sheetData sheetId="1246">
        <row r="1">
          <cell r="A1" t="str">
            <v>단  종</v>
          </cell>
        </row>
      </sheetData>
      <sheetData sheetId="1247">
        <row r="1">
          <cell r="A1" t="str">
            <v>단  종</v>
          </cell>
        </row>
      </sheetData>
      <sheetData sheetId="1248"/>
      <sheetData sheetId="1249"/>
      <sheetData sheetId="1250">
        <row r="1">
          <cell r="A1" t="str">
            <v>단  종</v>
          </cell>
        </row>
      </sheetData>
      <sheetData sheetId="1251">
        <row r="1">
          <cell r="A1" t="str">
            <v>단  종</v>
          </cell>
        </row>
      </sheetData>
      <sheetData sheetId="1252"/>
      <sheetData sheetId="1253"/>
      <sheetData sheetId="1254"/>
      <sheetData sheetId="1255">
        <row r="1">
          <cell r="A1" t="str">
            <v>단  종</v>
          </cell>
        </row>
      </sheetData>
      <sheetData sheetId="1256"/>
      <sheetData sheetId="1257"/>
      <sheetData sheetId="1258">
        <row r="1">
          <cell r="A1" t="str">
            <v>단  종</v>
          </cell>
        </row>
      </sheetData>
      <sheetData sheetId="1259"/>
      <sheetData sheetId="1260">
        <row r="1">
          <cell r="A1" t="str">
            <v>단  종</v>
          </cell>
        </row>
      </sheetData>
      <sheetData sheetId="1261">
        <row r="1">
          <cell r="A1" t="str">
            <v>단  종</v>
          </cell>
        </row>
      </sheetData>
      <sheetData sheetId="1262"/>
      <sheetData sheetId="1263">
        <row r="1">
          <cell r="A1" t="str">
            <v>단  종</v>
          </cell>
        </row>
      </sheetData>
      <sheetData sheetId="1264"/>
      <sheetData sheetId="1265"/>
      <sheetData sheetId="1266"/>
      <sheetData sheetId="1267"/>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sheetData sheetId="1273">
        <row r="1">
          <cell r="A1" t="str">
            <v>단  종</v>
          </cell>
        </row>
      </sheetData>
      <sheetData sheetId="1274">
        <row r="1">
          <cell r="A1" t="str">
            <v>단  종</v>
          </cell>
        </row>
      </sheetData>
      <sheetData sheetId="1275">
        <row r="1">
          <cell r="A1" t="str">
            <v>단  종</v>
          </cell>
        </row>
      </sheetData>
      <sheetData sheetId="1276"/>
      <sheetData sheetId="1277">
        <row r="1">
          <cell r="A1" t="str">
            <v>단  종</v>
          </cell>
        </row>
      </sheetData>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sheetData sheetId="1291">
        <row r="1">
          <cell r="A1" t="str">
            <v>단  종</v>
          </cell>
        </row>
      </sheetData>
      <sheetData sheetId="1292"/>
      <sheetData sheetId="1293">
        <row r="1">
          <cell r="A1" t="str">
            <v>단  종</v>
          </cell>
        </row>
      </sheetData>
      <sheetData sheetId="1294"/>
      <sheetData sheetId="1295"/>
      <sheetData sheetId="1296"/>
      <sheetData sheetId="1297"/>
      <sheetData sheetId="1298"/>
      <sheetData sheetId="1299"/>
      <sheetData sheetId="1300">
        <row r="1">
          <cell r="A1" t="str">
            <v>단  종</v>
          </cell>
        </row>
      </sheetData>
      <sheetData sheetId="1301">
        <row r="1">
          <cell r="A1" t="str">
            <v>단  종</v>
          </cell>
        </row>
      </sheetData>
      <sheetData sheetId="1302">
        <row r="1">
          <cell r="A1" t="str">
            <v>단  종</v>
          </cell>
        </row>
      </sheetData>
      <sheetData sheetId="1303"/>
      <sheetData sheetId="1304"/>
      <sheetData sheetId="1305"/>
      <sheetData sheetId="1306"/>
      <sheetData sheetId="1307">
        <row r="1">
          <cell r="A1" t="str">
            <v>단  종</v>
          </cell>
        </row>
      </sheetData>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ow r="1">
          <cell r="A1" t="str">
            <v>단  종</v>
          </cell>
        </row>
      </sheetData>
      <sheetData sheetId="1348"/>
      <sheetData sheetId="1349"/>
      <sheetData sheetId="1350"/>
      <sheetData sheetId="1351">
        <row r="1">
          <cell r="A1" t="str">
            <v>단  종</v>
          </cell>
        </row>
      </sheetData>
      <sheetData sheetId="1352"/>
      <sheetData sheetId="1353"/>
      <sheetData sheetId="1354"/>
      <sheetData sheetId="1355">
        <row r="1">
          <cell r="A1" t="str">
            <v>단  종</v>
          </cell>
        </row>
      </sheetData>
      <sheetData sheetId="1356"/>
      <sheetData sheetId="1357"/>
      <sheetData sheetId="1358">
        <row r="1">
          <cell r="A1" t="str">
            <v>단  종</v>
          </cell>
        </row>
      </sheetData>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refreshError="1"/>
      <sheetData sheetId="1418" refreshError="1"/>
      <sheetData sheetId="1419"/>
      <sheetData sheetId="1420" refreshError="1"/>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3C75-3573-4EFA-83B3-CCC1697FF233}">
  <sheetPr>
    <tabColor rgb="FFFFFF00"/>
    <pageSetUpPr fitToPage="1"/>
  </sheetPr>
  <dimension ref="A1:W87"/>
  <sheetViews>
    <sheetView showZeros="0" tabSelected="1" view="pageBreakPreview" topLeftCell="B1" zoomScale="60" zoomScaleNormal="62" workbookViewId="0">
      <pane ySplit="3" topLeftCell="A81" activePane="bottomLeft" state="frozen"/>
      <selection pane="bottomLeft" activeCell="B87" sqref="B87:C87"/>
    </sheetView>
  </sheetViews>
  <sheetFormatPr defaultRowHeight="16.5"/>
  <cols>
    <col min="1" max="1" width="6.125" style="177" bestFit="1" customWidth="1"/>
    <col min="2" max="2" width="13.25" style="102" bestFit="1" customWidth="1"/>
    <col min="3" max="3" width="11.375" style="102" bestFit="1" customWidth="1"/>
    <col min="4" max="4" width="15.25" style="102" customWidth="1"/>
    <col min="5" max="5" width="12.75" style="102" customWidth="1"/>
    <col min="6" max="6" width="11.125" style="102" bestFit="1" customWidth="1"/>
    <col min="7" max="7" width="12.75" style="102" customWidth="1"/>
    <col min="8" max="8" width="11.125" style="102" bestFit="1" customWidth="1"/>
    <col min="9" max="9" width="27.5" style="102" bestFit="1" customWidth="1"/>
    <col min="10" max="10" width="29.75" style="102" bestFit="1" customWidth="1"/>
    <col min="11" max="11" width="9.75" style="102" bestFit="1" customWidth="1"/>
    <col min="12" max="12" width="9.75" style="102" customWidth="1"/>
    <col min="13" max="13" width="11.75" style="102" bestFit="1" customWidth="1"/>
    <col min="14" max="14" width="73.25" style="102" bestFit="1" customWidth="1"/>
    <col min="15" max="15" width="16.5" style="102" customWidth="1"/>
    <col min="16" max="17" width="13.25" style="102" bestFit="1" customWidth="1"/>
    <col min="18" max="18" width="12.875" style="102" bestFit="1" customWidth="1"/>
    <col min="19" max="19" width="16.125" style="102" bestFit="1" customWidth="1"/>
    <col min="20" max="21" width="16" style="102" customWidth="1"/>
    <col min="22" max="22" width="16" style="102" bestFit="1" customWidth="1"/>
    <col min="23" max="23" width="25.875" style="101" customWidth="1"/>
    <col min="24" max="24" width="1.625" style="101" customWidth="1"/>
    <col min="25" max="16384" width="9" style="101"/>
  </cols>
  <sheetData>
    <row r="1" spans="1:23" s="77" customFormat="1" ht="9.9499999999999993" customHeight="1" thickBot="1">
      <c r="A1" s="85"/>
    </row>
    <row r="2" spans="1:23" s="77" customFormat="1" ht="39" customHeight="1">
      <c r="A2" s="85"/>
      <c r="B2" s="234" t="s">
        <v>10</v>
      </c>
      <c r="C2" s="225" t="s">
        <v>11</v>
      </c>
      <c r="D2" s="236" t="s">
        <v>703</v>
      </c>
      <c r="E2" s="238" t="s">
        <v>12</v>
      </c>
      <c r="F2" s="238"/>
      <c r="G2" s="238" t="s">
        <v>13</v>
      </c>
      <c r="H2" s="238"/>
      <c r="I2" s="86" t="s">
        <v>279</v>
      </c>
      <c r="J2" s="86" t="s">
        <v>280</v>
      </c>
      <c r="K2" s="225" t="s">
        <v>16</v>
      </c>
      <c r="L2" s="225" t="s">
        <v>17</v>
      </c>
      <c r="M2" s="225" t="s">
        <v>18</v>
      </c>
      <c r="N2" s="225" t="s">
        <v>19</v>
      </c>
      <c r="O2" s="227" t="s">
        <v>281</v>
      </c>
      <c r="P2" s="229" t="s">
        <v>282</v>
      </c>
      <c r="Q2" s="229"/>
      <c r="R2" s="229"/>
      <c r="S2" s="230"/>
      <c r="T2" s="230"/>
      <c r="U2" s="230"/>
      <c r="V2" s="231"/>
      <c r="W2" s="232" t="s">
        <v>283</v>
      </c>
    </row>
    <row r="3" spans="1:23" s="77" customFormat="1" ht="39.75" thickBot="1">
      <c r="A3" s="85"/>
      <c r="B3" s="235"/>
      <c r="C3" s="226"/>
      <c r="D3" s="237"/>
      <c r="E3" s="87" t="s">
        <v>20</v>
      </c>
      <c r="F3" s="88" t="s">
        <v>21</v>
      </c>
      <c r="G3" s="87" t="s">
        <v>20</v>
      </c>
      <c r="H3" s="88" t="s">
        <v>21</v>
      </c>
      <c r="I3" s="89" t="s">
        <v>22</v>
      </c>
      <c r="J3" s="89" t="s">
        <v>23</v>
      </c>
      <c r="K3" s="226"/>
      <c r="L3" s="226"/>
      <c r="M3" s="226"/>
      <c r="N3" s="226"/>
      <c r="O3" s="228"/>
      <c r="P3" s="103" t="s">
        <v>284</v>
      </c>
      <c r="Q3" s="103" t="s">
        <v>285</v>
      </c>
      <c r="R3" s="103" t="s">
        <v>286</v>
      </c>
      <c r="S3" s="104" t="s">
        <v>287</v>
      </c>
      <c r="T3" s="104" t="s">
        <v>288</v>
      </c>
      <c r="U3" s="104" t="s">
        <v>289</v>
      </c>
      <c r="V3" s="104" t="s">
        <v>290</v>
      </c>
      <c r="W3" s="233"/>
    </row>
    <row r="4" spans="1:23" s="100" customFormat="1" ht="72" customHeight="1">
      <c r="A4" s="133" t="s">
        <v>698</v>
      </c>
      <c r="B4" s="179">
        <v>87</v>
      </c>
      <c r="C4" s="154" t="s">
        <v>321</v>
      </c>
      <c r="D4" s="186">
        <v>2</v>
      </c>
      <c r="E4" s="155">
        <v>46003</v>
      </c>
      <c r="F4" s="156">
        <v>0.375</v>
      </c>
      <c r="G4" s="155">
        <v>46003</v>
      </c>
      <c r="H4" s="156">
        <v>0.5625</v>
      </c>
      <c r="I4" s="157">
        <f t="shared" ref="I4:I67" si="0">H4-F4</f>
        <v>0.1875</v>
      </c>
      <c r="J4" s="158">
        <f t="shared" ref="J4:J67" si="1">I4*D4</f>
        <v>0.375</v>
      </c>
      <c r="K4" s="159" t="s">
        <v>491</v>
      </c>
      <c r="L4" s="159" t="s">
        <v>492</v>
      </c>
      <c r="M4" s="161" t="s">
        <v>322</v>
      </c>
      <c r="N4" s="162" t="s">
        <v>493</v>
      </c>
      <c r="O4" s="189">
        <v>2</v>
      </c>
      <c r="P4" s="163"/>
      <c r="Q4" s="163"/>
      <c r="R4" s="163"/>
      <c r="S4" s="163"/>
      <c r="T4" s="163"/>
      <c r="U4" s="163"/>
      <c r="V4" s="180"/>
      <c r="W4" s="181"/>
    </row>
    <row r="5" spans="1:23" s="100" customFormat="1" ht="48">
      <c r="A5" s="133" t="s">
        <v>698</v>
      </c>
      <c r="B5" s="107" t="s">
        <v>494</v>
      </c>
      <c r="C5" s="92" t="s">
        <v>321</v>
      </c>
      <c r="D5" s="187">
        <v>1</v>
      </c>
      <c r="E5" s="93">
        <v>46021</v>
      </c>
      <c r="F5" s="94">
        <v>0.58333333333333337</v>
      </c>
      <c r="G5" s="93">
        <v>46021</v>
      </c>
      <c r="H5" s="94">
        <v>0.60416666666666663</v>
      </c>
      <c r="I5" s="95">
        <f t="shared" si="0"/>
        <v>2.0833333333333259E-2</v>
      </c>
      <c r="J5" s="105">
        <f t="shared" si="1"/>
        <v>2.0833333333333259E-2</v>
      </c>
      <c r="K5" s="96">
        <v>9</v>
      </c>
      <c r="L5" s="96">
        <v>502</v>
      </c>
      <c r="M5" s="97" t="s">
        <v>322</v>
      </c>
      <c r="N5" s="98" t="s">
        <v>495</v>
      </c>
      <c r="O5" s="190" t="s">
        <v>71</v>
      </c>
      <c r="P5" s="108"/>
      <c r="Q5" s="108"/>
      <c r="R5" s="108"/>
      <c r="S5" s="108"/>
      <c r="T5" s="108"/>
      <c r="U5" s="108"/>
      <c r="V5" s="108"/>
      <c r="W5" s="222" t="s">
        <v>496</v>
      </c>
    </row>
    <row r="6" spans="1:23" s="100" customFormat="1" ht="120">
      <c r="A6" s="133" t="s">
        <v>702</v>
      </c>
      <c r="B6" s="109">
        <v>1</v>
      </c>
      <c r="C6" s="92" t="s">
        <v>321</v>
      </c>
      <c r="D6" s="187">
        <v>2</v>
      </c>
      <c r="E6" s="93">
        <v>46041</v>
      </c>
      <c r="F6" s="94">
        <v>0.375</v>
      </c>
      <c r="G6" s="93">
        <v>46041</v>
      </c>
      <c r="H6" s="94">
        <v>0.68055555555555558</v>
      </c>
      <c r="I6" s="95">
        <f t="shared" si="0"/>
        <v>0.30555555555555558</v>
      </c>
      <c r="J6" s="105">
        <f t="shared" si="1"/>
        <v>0.61111111111111116</v>
      </c>
      <c r="K6" s="96" t="s">
        <v>497</v>
      </c>
      <c r="L6" s="96" t="s">
        <v>498</v>
      </c>
      <c r="M6" s="97" t="s">
        <v>322</v>
      </c>
      <c r="N6" s="98" t="s">
        <v>499</v>
      </c>
      <c r="O6" s="190">
        <v>2</v>
      </c>
      <c r="P6" s="108">
        <v>3</v>
      </c>
      <c r="Q6" s="108">
        <v>3</v>
      </c>
      <c r="R6" s="108">
        <v>6</v>
      </c>
      <c r="S6" s="108"/>
      <c r="T6" s="108"/>
      <c r="U6" s="108"/>
      <c r="V6" s="108"/>
      <c r="W6" s="99"/>
    </row>
    <row r="7" spans="1:23" s="100" customFormat="1" ht="198.75" customHeight="1">
      <c r="A7" s="133" t="s">
        <v>702</v>
      </c>
      <c r="B7" s="109">
        <v>2</v>
      </c>
      <c r="C7" s="92" t="s">
        <v>321</v>
      </c>
      <c r="D7" s="187">
        <v>2</v>
      </c>
      <c r="E7" s="93">
        <v>46042</v>
      </c>
      <c r="F7" s="94">
        <v>0.375</v>
      </c>
      <c r="G7" s="93">
        <v>46042</v>
      </c>
      <c r="H7" s="94">
        <v>0.68055555555555558</v>
      </c>
      <c r="I7" s="95">
        <f t="shared" si="0"/>
        <v>0.30555555555555558</v>
      </c>
      <c r="J7" s="105">
        <f t="shared" si="1"/>
        <v>0.61111111111111116</v>
      </c>
      <c r="K7" s="96" t="s">
        <v>500</v>
      </c>
      <c r="L7" s="96" t="s">
        <v>501</v>
      </c>
      <c r="M7" s="97" t="s">
        <v>322</v>
      </c>
      <c r="N7" s="98" t="s">
        <v>502</v>
      </c>
      <c r="O7" s="190">
        <v>2</v>
      </c>
      <c r="P7" s="108">
        <v>3</v>
      </c>
      <c r="Q7" s="108">
        <v>5</v>
      </c>
      <c r="R7" s="108">
        <v>18</v>
      </c>
      <c r="S7" s="108"/>
      <c r="T7" s="108"/>
      <c r="U7" s="108"/>
      <c r="V7" s="108"/>
      <c r="W7" s="99"/>
    </row>
    <row r="8" spans="1:23" s="100" customFormat="1" ht="96">
      <c r="A8" s="133" t="s">
        <v>702</v>
      </c>
      <c r="B8" s="109">
        <v>3</v>
      </c>
      <c r="C8" s="92" t="s">
        <v>321</v>
      </c>
      <c r="D8" s="187">
        <v>2</v>
      </c>
      <c r="E8" s="93">
        <v>46043</v>
      </c>
      <c r="F8" s="94">
        <v>0.375</v>
      </c>
      <c r="G8" s="93">
        <v>46043</v>
      </c>
      <c r="H8" s="94">
        <v>0.68055555555555558</v>
      </c>
      <c r="I8" s="95">
        <f t="shared" si="0"/>
        <v>0.30555555555555558</v>
      </c>
      <c r="J8" s="105">
        <f t="shared" si="1"/>
        <v>0.61111111111111116</v>
      </c>
      <c r="K8" s="96">
        <v>102</v>
      </c>
      <c r="L8" s="96">
        <v>504</v>
      </c>
      <c r="M8" s="97" t="s">
        <v>322</v>
      </c>
      <c r="N8" s="98" t="s">
        <v>503</v>
      </c>
      <c r="O8" s="190">
        <v>2</v>
      </c>
      <c r="P8" s="108">
        <v>3</v>
      </c>
      <c r="Q8" s="108">
        <v>2</v>
      </c>
      <c r="R8" s="108" t="s">
        <v>71</v>
      </c>
      <c r="S8" s="108" t="s">
        <v>71</v>
      </c>
      <c r="T8" s="108"/>
      <c r="U8" s="108"/>
      <c r="V8" s="108"/>
      <c r="W8" s="99"/>
    </row>
    <row r="9" spans="1:23" s="100" customFormat="1" ht="120">
      <c r="A9" s="133" t="s">
        <v>702</v>
      </c>
      <c r="B9" s="109">
        <v>4</v>
      </c>
      <c r="C9" s="92" t="s">
        <v>321</v>
      </c>
      <c r="D9" s="187">
        <v>2</v>
      </c>
      <c r="E9" s="93">
        <v>46044</v>
      </c>
      <c r="F9" s="94">
        <v>0.375</v>
      </c>
      <c r="G9" s="93">
        <v>46044</v>
      </c>
      <c r="H9" s="94">
        <v>0.6875</v>
      </c>
      <c r="I9" s="95">
        <f t="shared" si="0"/>
        <v>0.3125</v>
      </c>
      <c r="J9" s="105">
        <f t="shared" si="1"/>
        <v>0.625</v>
      </c>
      <c r="K9" s="96" t="s">
        <v>504</v>
      </c>
      <c r="L9" s="96" t="s">
        <v>505</v>
      </c>
      <c r="M9" s="97" t="s">
        <v>322</v>
      </c>
      <c r="N9" s="98" t="s">
        <v>506</v>
      </c>
      <c r="O9" s="190">
        <v>2</v>
      </c>
      <c r="P9" s="108">
        <v>2</v>
      </c>
      <c r="Q9" s="108">
        <v>2</v>
      </c>
      <c r="R9" s="108"/>
      <c r="S9" s="108" t="s">
        <v>71</v>
      </c>
      <c r="T9" s="108"/>
      <c r="U9" s="108"/>
      <c r="V9" s="108" t="s">
        <v>71</v>
      </c>
      <c r="W9" s="99" t="s">
        <v>71</v>
      </c>
    </row>
    <row r="10" spans="1:23" s="100" customFormat="1" ht="96">
      <c r="A10" s="133" t="s">
        <v>702</v>
      </c>
      <c r="B10" s="109">
        <v>5</v>
      </c>
      <c r="C10" s="92" t="s">
        <v>321</v>
      </c>
      <c r="D10" s="187">
        <v>2</v>
      </c>
      <c r="E10" s="93">
        <v>46045</v>
      </c>
      <c r="F10" s="94">
        <v>0.375</v>
      </c>
      <c r="G10" s="93">
        <v>46045</v>
      </c>
      <c r="H10" s="94">
        <v>0.66666666666666663</v>
      </c>
      <c r="I10" s="95">
        <f t="shared" si="0"/>
        <v>0.29166666666666663</v>
      </c>
      <c r="J10" s="105">
        <f t="shared" si="1"/>
        <v>0.58333333333333326</v>
      </c>
      <c r="K10" s="96" t="s">
        <v>507</v>
      </c>
      <c r="L10" s="96" t="s">
        <v>508</v>
      </c>
      <c r="M10" s="97" t="s">
        <v>322</v>
      </c>
      <c r="N10" s="98" t="s">
        <v>509</v>
      </c>
      <c r="O10" s="190" t="s">
        <v>71</v>
      </c>
      <c r="P10" s="108">
        <v>19</v>
      </c>
      <c r="Q10" s="108"/>
      <c r="R10" s="108"/>
      <c r="S10" s="108" t="s">
        <v>71</v>
      </c>
      <c r="T10" s="108"/>
      <c r="U10" s="108"/>
      <c r="V10" s="108"/>
      <c r="W10" s="99"/>
    </row>
    <row r="11" spans="1:23" s="100" customFormat="1" ht="120">
      <c r="A11" s="133" t="s">
        <v>702</v>
      </c>
      <c r="B11" s="109">
        <v>6</v>
      </c>
      <c r="C11" s="92" t="s">
        <v>321</v>
      </c>
      <c r="D11" s="187">
        <v>2</v>
      </c>
      <c r="E11" s="93">
        <v>46048</v>
      </c>
      <c r="F11" s="94">
        <v>0.375</v>
      </c>
      <c r="G11" s="93">
        <v>46048</v>
      </c>
      <c r="H11" s="94">
        <v>0.6875</v>
      </c>
      <c r="I11" s="95">
        <f t="shared" si="0"/>
        <v>0.3125</v>
      </c>
      <c r="J11" s="105">
        <f t="shared" si="1"/>
        <v>0.625</v>
      </c>
      <c r="K11" s="96">
        <v>102</v>
      </c>
      <c r="L11" s="96">
        <v>502</v>
      </c>
      <c r="M11" s="97" t="s">
        <v>322</v>
      </c>
      <c r="N11" s="98" t="s">
        <v>510</v>
      </c>
      <c r="O11" s="190">
        <v>2</v>
      </c>
      <c r="P11" s="108">
        <v>3</v>
      </c>
      <c r="Q11" s="108">
        <v>3</v>
      </c>
      <c r="R11" s="108">
        <v>16</v>
      </c>
      <c r="S11" s="108"/>
      <c r="T11" s="108"/>
      <c r="U11" s="108"/>
      <c r="V11" s="108"/>
      <c r="W11" s="99"/>
    </row>
    <row r="12" spans="1:23" s="100" customFormat="1" ht="72" customHeight="1">
      <c r="A12" s="133" t="s">
        <v>702</v>
      </c>
      <c r="B12" s="182">
        <v>7</v>
      </c>
      <c r="C12" s="92" t="s">
        <v>321</v>
      </c>
      <c r="D12" s="187">
        <v>1</v>
      </c>
      <c r="E12" s="93">
        <v>46052</v>
      </c>
      <c r="F12" s="94">
        <v>0.375</v>
      </c>
      <c r="G12" s="93">
        <v>46052</v>
      </c>
      <c r="H12" s="94">
        <v>0.66666666666666663</v>
      </c>
      <c r="I12" s="95">
        <f t="shared" si="0"/>
        <v>0.29166666666666663</v>
      </c>
      <c r="J12" s="105">
        <f t="shared" si="1"/>
        <v>0.29166666666666663</v>
      </c>
      <c r="K12" s="96" t="s">
        <v>511</v>
      </c>
      <c r="L12" s="96" t="s">
        <v>512</v>
      </c>
      <c r="M12" s="97" t="s">
        <v>322</v>
      </c>
      <c r="N12" s="98" t="s">
        <v>513</v>
      </c>
      <c r="O12" s="190" t="s">
        <v>71</v>
      </c>
      <c r="P12" s="108">
        <v>12</v>
      </c>
      <c r="Q12" s="108"/>
      <c r="R12" s="108"/>
      <c r="S12" s="108"/>
      <c r="T12" s="108"/>
      <c r="U12" s="108"/>
      <c r="V12" s="110"/>
      <c r="W12" s="99"/>
    </row>
    <row r="13" spans="1:23" s="100" customFormat="1" ht="120">
      <c r="A13" s="133" t="s">
        <v>702</v>
      </c>
      <c r="B13" s="109">
        <v>8</v>
      </c>
      <c r="C13" s="92" t="s">
        <v>321</v>
      </c>
      <c r="D13" s="187">
        <v>2</v>
      </c>
      <c r="E13" s="93">
        <v>46055</v>
      </c>
      <c r="F13" s="94">
        <v>0.375</v>
      </c>
      <c r="G13" s="93">
        <v>46055</v>
      </c>
      <c r="H13" s="94">
        <v>0.68055555555555558</v>
      </c>
      <c r="I13" s="95">
        <f t="shared" si="0"/>
        <v>0.30555555555555558</v>
      </c>
      <c r="J13" s="105">
        <f t="shared" si="1"/>
        <v>0.61111111111111116</v>
      </c>
      <c r="K13" s="96" t="s">
        <v>514</v>
      </c>
      <c r="L13" s="96" t="s">
        <v>515</v>
      </c>
      <c r="M13" s="97" t="s">
        <v>322</v>
      </c>
      <c r="N13" s="98" t="s">
        <v>516</v>
      </c>
      <c r="O13" s="190">
        <v>2</v>
      </c>
      <c r="P13" s="106"/>
      <c r="Q13" s="108">
        <v>3</v>
      </c>
      <c r="R13" s="108">
        <v>12</v>
      </c>
      <c r="S13" s="108"/>
      <c r="T13" s="108"/>
      <c r="U13" s="108"/>
      <c r="V13" s="108"/>
      <c r="W13" s="99"/>
    </row>
    <row r="14" spans="1:23" s="100" customFormat="1" ht="72" customHeight="1">
      <c r="A14" s="133" t="s">
        <v>702</v>
      </c>
      <c r="B14" s="109">
        <v>9</v>
      </c>
      <c r="C14" s="92" t="s">
        <v>321</v>
      </c>
      <c r="D14" s="187">
        <v>2</v>
      </c>
      <c r="E14" s="93">
        <v>46065</v>
      </c>
      <c r="F14" s="94">
        <v>0.375</v>
      </c>
      <c r="G14" s="93">
        <v>46065</v>
      </c>
      <c r="H14" s="94">
        <v>0.68055555555555558</v>
      </c>
      <c r="I14" s="95">
        <f t="shared" si="0"/>
        <v>0.30555555555555558</v>
      </c>
      <c r="J14" s="105">
        <f t="shared" si="1"/>
        <v>0.61111111111111116</v>
      </c>
      <c r="K14" s="96">
        <v>103</v>
      </c>
      <c r="L14" s="96" t="s">
        <v>517</v>
      </c>
      <c r="M14" s="97" t="s">
        <v>322</v>
      </c>
      <c r="N14" s="98" t="s">
        <v>518</v>
      </c>
      <c r="O14" s="190">
        <v>2</v>
      </c>
      <c r="P14" s="108"/>
      <c r="Q14" s="108"/>
      <c r="R14" s="108"/>
      <c r="S14" s="108"/>
      <c r="T14" s="108"/>
      <c r="U14" s="108"/>
      <c r="V14" s="110"/>
      <c r="W14" s="99"/>
    </row>
    <row r="15" spans="1:23" s="100" customFormat="1" ht="120">
      <c r="A15" s="133" t="s">
        <v>702</v>
      </c>
      <c r="B15" s="109">
        <v>10</v>
      </c>
      <c r="C15" s="92" t="s">
        <v>321</v>
      </c>
      <c r="D15" s="187">
        <v>2</v>
      </c>
      <c r="E15" s="93">
        <v>46066</v>
      </c>
      <c r="F15" s="94">
        <v>0.375</v>
      </c>
      <c r="G15" s="93">
        <v>46066</v>
      </c>
      <c r="H15" s="94">
        <v>0.67361111111111116</v>
      </c>
      <c r="I15" s="95">
        <f t="shared" si="0"/>
        <v>0.29861111111111116</v>
      </c>
      <c r="J15" s="105">
        <f t="shared" si="1"/>
        <v>0.59722222222222232</v>
      </c>
      <c r="K15" s="96" t="s">
        <v>519</v>
      </c>
      <c r="L15" s="96" t="s">
        <v>520</v>
      </c>
      <c r="M15" s="97" t="s">
        <v>322</v>
      </c>
      <c r="N15" s="98" t="s">
        <v>521</v>
      </c>
      <c r="O15" s="190">
        <v>2</v>
      </c>
      <c r="P15" s="106"/>
      <c r="Q15" s="108">
        <v>1</v>
      </c>
      <c r="R15" s="108">
        <v>9</v>
      </c>
      <c r="S15" s="108"/>
      <c r="T15" s="108"/>
      <c r="U15" s="108"/>
      <c r="V15" s="108"/>
      <c r="W15" s="99"/>
    </row>
    <row r="16" spans="1:23" s="100" customFormat="1" ht="72" customHeight="1">
      <c r="A16" s="133" t="s">
        <v>702</v>
      </c>
      <c r="B16" s="182">
        <v>11</v>
      </c>
      <c r="C16" s="92" t="s">
        <v>321</v>
      </c>
      <c r="D16" s="187">
        <v>1</v>
      </c>
      <c r="E16" s="93">
        <v>46076</v>
      </c>
      <c r="F16" s="94">
        <v>0.375</v>
      </c>
      <c r="G16" s="93">
        <v>46076</v>
      </c>
      <c r="H16" s="94">
        <v>0.68055555555555558</v>
      </c>
      <c r="I16" s="95">
        <f t="shared" si="0"/>
        <v>0.30555555555555558</v>
      </c>
      <c r="J16" s="105">
        <f t="shared" si="1"/>
        <v>0.30555555555555558</v>
      </c>
      <c r="K16" s="96" t="s">
        <v>522</v>
      </c>
      <c r="L16" s="96" t="s">
        <v>523</v>
      </c>
      <c r="M16" s="97" t="s">
        <v>322</v>
      </c>
      <c r="N16" s="98" t="s">
        <v>524</v>
      </c>
      <c r="O16" s="190">
        <v>1</v>
      </c>
      <c r="P16" s="108"/>
      <c r="Q16" s="108">
        <v>3</v>
      </c>
      <c r="R16" s="108">
        <v>18</v>
      </c>
      <c r="S16" s="108"/>
      <c r="T16" s="108">
        <v>4</v>
      </c>
      <c r="U16" s="108"/>
      <c r="V16" s="110"/>
      <c r="W16" s="99"/>
    </row>
    <row r="17" spans="1:23" s="100" customFormat="1" ht="96">
      <c r="A17" s="133" t="s">
        <v>702</v>
      </c>
      <c r="B17" s="109">
        <v>12</v>
      </c>
      <c r="C17" s="92" t="s">
        <v>321</v>
      </c>
      <c r="D17" s="187">
        <v>1</v>
      </c>
      <c r="E17" s="93">
        <v>46077</v>
      </c>
      <c r="F17" s="94">
        <v>0.375</v>
      </c>
      <c r="G17" s="93">
        <v>46077</v>
      </c>
      <c r="H17" s="94">
        <v>0.67708333333333337</v>
      </c>
      <c r="I17" s="95">
        <f t="shared" si="0"/>
        <v>0.30208333333333337</v>
      </c>
      <c r="J17" s="105">
        <f t="shared" si="1"/>
        <v>0.30208333333333337</v>
      </c>
      <c r="K17" s="96" t="s">
        <v>525</v>
      </c>
      <c r="L17" s="96" t="s">
        <v>526</v>
      </c>
      <c r="M17" s="97" t="s">
        <v>322</v>
      </c>
      <c r="N17" s="98" t="s">
        <v>527</v>
      </c>
      <c r="O17" s="190" t="s">
        <v>71</v>
      </c>
      <c r="P17" s="108"/>
      <c r="Q17" s="108"/>
      <c r="R17" s="108"/>
      <c r="S17" s="108">
        <v>3</v>
      </c>
      <c r="T17" s="108"/>
      <c r="U17" s="108"/>
      <c r="V17" s="108"/>
      <c r="W17" s="99"/>
    </row>
    <row r="18" spans="1:23" s="100" customFormat="1" ht="144">
      <c r="A18" s="133" t="s">
        <v>702</v>
      </c>
      <c r="B18" s="109">
        <v>13</v>
      </c>
      <c r="C18" s="92" t="s">
        <v>321</v>
      </c>
      <c r="D18" s="187">
        <v>3</v>
      </c>
      <c r="E18" s="93">
        <v>46078</v>
      </c>
      <c r="F18" s="94">
        <v>0.375</v>
      </c>
      <c r="G18" s="93">
        <v>46078</v>
      </c>
      <c r="H18" s="94">
        <v>0.68055555555555558</v>
      </c>
      <c r="I18" s="95">
        <f t="shared" si="0"/>
        <v>0.30555555555555558</v>
      </c>
      <c r="J18" s="105">
        <f t="shared" si="1"/>
        <v>0.91666666666666674</v>
      </c>
      <c r="K18" s="96" t="s">
        <v>325</v>
      </c>
      <c r="L18" s="96" t="s">
        <v>528</v>
      </c>
      <c r="M18" s="97" t="s">
        <v>322</v>
      </c>
      <c r="N18" s="98" t="s">
        <v>529</v>
      </c>
      <c r="O18" s="190">
        <v>3</v>
      </c>
      <c r="P18" s="106"/>
      <c r="Q18" s="108" t="s">
        <v>71</v>
      </c>
      <c r="R18" s="108" t="s">
        <v>71</v>
      </c>
      <c r="S18" s="108"/>
      <c r="T18" s="108">
        <v>4</v>
      </c>
      <c r="U18" s="108"/>
      <c r="V18" s="108"/>
      <c r="W18" s="99"/>
    </row>
    <row r="19" spans="1:23" s="100" customFormat="1" ht="168">
      <c r="A19" s="133" t="s">
        <v>702</v>
      </c>
      <c r="B19" s="109">
        <v>14</v>
      </c>
      <c r="C19" s="92" t="s">
        <v>321</v>
      </c>
      <c r="D19" s="187">
        <v>3</v>
      </c>
      <c r="E19" s="93">
        <v>46079</v>
      </c>
      <c r="F19" s="94">
        <v>0.375</v>
      </c>
      <c r="G19" s="93">
        <v>46079</v>
      </c>
      <c r="H19" s="94">
        <v>0.68055555555555558</v>
      </c>
      <c r="I19" s="95">
        <f t="shared" si="0"/>
        <v>0.30555555555555558</v>
      </c>
      <c r="J19" s="105">
        <f t="shared" si="1"/>
        <v>0.91666666666666674</v>
      </c>
      <c r="K19" s="96" t="s">
        <v>530</v>
      </c>
      <c r="L19" s="96" t="s">
        <v>531</v>
      </c>
      <c r="M19" s="97" t="s">
        <v>322</v>
      </c>
      <c r="N19" s="98" t="s">
        <v>532</v>
      </c>
      <c r="O19" s="190">
        <v>3</v>
      </c>
      <c r="P19" s="108">
        <v>3</v>
      </c>
      <c r="Q19" s="108" t="s">
        <v>71</v>
      </c>
      <c r="R19" s="108" t="s">
        <v>71</v>
      </c>
      <c r="S19" s="108"/>
      <c r="T19" s="108"/>
      <c r="U19" s="108"/>
      <c r="V19" s="108"/>
      <c r="W19" s="99"/>
    </row>
    <row r="20" spans="1:23" s="100" customFormat="1" ht="192">
      <c r="A20" s="133" t="s">
        <v>702</v>
      </c>
      <c r="B20" s="109">
        <v>15</v>
      </c>
      <c r="C20" s="92" t="s">
        <v>321</v>
      </c>
      <c r="D20" s="187">
        <v>3</v>
      </c>
      <c r="E20" s="93">
        <v>46084</v>
      </c>
      <c r="F20" s="94">
        <v>0.375</v>
      </c>
      <c r="G20" s="93">
        <v>46084</v>
      </c>
      <c r="H20" s="94">
        <v>0.68055555555555558</v>
      </c>
      <c r="I20" s="95">
        <f t="shared" si="0"/>
        <v>0.30555555555555558</v>
      </c>
      <c r="J20" s="105">
        <f t="shared" si="1"/>
        <v>0.91666666666666674</v>
      </c>
      <c r="K20" s="96" t="s">
        <v>533</v>
      </c>
      <c r="L20" s="96" t="s">
        <v>534</v>
      </c>
      <c r="M20" s="97" t="s">
        <v>322</v>
      </c>
      <c r="N20" s="98" t="s">
        <v>535</v>
      </c>
      <c r="O20" s="190">
        <v>3</v>
      </c>
      <c r="P20" s="106"/>
      <c r="Q20" s="108">
        <v>3</v>
      </c>
      <c r="R20" s="108" t="s">
        <v>71</v>
      </c>
      <c r="S20" s="108"/>
      <c r="T20" s="108"/>
      <c r="U20" s="108"/>
      <c r="V20" s="108"/>
      <c r="W20" s="99"/>
    </row>
    <row r="21" spans="1:23" s="100" customFormat="1" ht="48">
      <c r="A21" s="133" t="s">
        <v>702</v>
      </c>
      <c r="B21" s="109">
        <v>16</v>
      </c>
      <c r="C21" s="92" t="s">
        <v>321</v>
      </c>
      <c r="D21" s="187">
        <v>1</v>
      </c>
      <c r="E21" s="93">
        <v>46085</v>
      </c>
      <c r="F21" s="94">
        <v>0.375</v>
      </c>
      <c r="G21" s="93">
        <v>46085</v>
      </c>
      <c r="H21" s="94">
        <v>0.68055555555555558</v>
      </c>
      <c r="I21" s="95">
        <f t="shared" si="0"/>
        <v>0.30555555555555558</v>
      </c>
      <c r="J21" s="105">
        <f t="shared" si="1"/>
        <v>0.30555555555555558</v>
      </c>
      <c r="K21" s="96" t="s">
        <v>536</v>
      </c>
      <c r="L21" s="96" t="s">
        <v>537</v>
      </c>
      <c r="M21" s="97" t="s">
        <v>322</v>
      </c>
      <c r="N21" s="98" t="s">
        <v>538</v>
      </c>
      <c r="O21" s="190">
        <v>1</v>
      </c>
      <c r="P21" s="106"/>
      <c r="Q21" s="108" t="s">
        <v>71</v>
      </c>
      <c r="R21" s="108" t="s">
        <v>71</v>
      </c>
      <c r="S21" s="108" t="s">
        <v>71</v>
      </c>
      <c r="T21" s="108"/>
      <c r="U21" s="108"/>
      <c r="V21" s="108"/>
      <c r="W21" s="99"/>
    </row>
    <row r="22" spans="1:23" s="100" customFormat="1" ht="199.5" customHeight="1">
      <c r="A22" s="133" t="s">
        <v>702</v>
      </c>
      <c r="B22" s="109" t="s">
        <v>71</v>
      </c>
      <c r="C22" s="92" t="s">
        <v>321</v>
      </c>
      <c r="D22" s="187">
        <v>3</v>
      </c>
      <c r="E22" s="93">
        <v>46085</v>
      </c>
      <c r="F22" s="94">
        <v>0.54166666666666663</v>
      </c>
      <c r="G22" s="93">
        <v>46085</v>
      </c>
      <c r="H22" s="94">
        <v>0.68055555555555558</v>
      </c>
      <c r="I22" s="95">
        <f t="shared" si="0"/>
        <v>0.13888888888888895</v>
      </c>
      <c r="J22" s="105">
        <f t="shared" si="1"/>
        <v>0.41666666666666685</v>
      </c>
      <c r="K22" s="96" t="s">
        <v>539</v>
      </c>
      <c r="L22" s="96" t="s">
        <v>540</v>
      </c>
      <c r="M22" s="97" t="s">
        <v>322</v>
      </c>
      <c r="N22" s="98" t="s">
        <v>541</v>
      </c>
      <c r="O22" s="190" t="s">
        <v>71</v>
      </c>
      <c r="P22" s="106"/>
      <c r="Q22" s="108" t="s">
        <v>71</v>
      </c>
      <c r="R22" s="108" t="s">
        <v>71</v>
      </c>
      <c r="S22" s="108">
        <v>8</v>
      </c>
      <c r="T22" s="108"/>
      <c r="U22" s="108"/>
      <c r="V22" s="108"/>
      <c r="W22" s="99"/>
    </row>
    <row r="23" spans="1:23" s="100" customFormat="1" ht="72" customHeight="1">
      <c r="A23" s="133" t="s">
        <v>702</v>
      </c>
      <c r="B23" s="109">
        <v>17</v>
      </c>
      <c r="C23" s="92" t="s">
        <v>321</v>
      </c>
      <c r="D23" s="187">
        <v>2</v>
      </c>
      <c r="E23" s="93">
        <v>46086</v>
      </c>
      <c r="F23" s="94">
        <v>0.54166666666666663</v>
      </c>
      <c r="G23" s="93">
        <v>46086</v>
      </c>
      <c r="H23" s="94">
        <v>0.68055555555555558</v>
      </c>
      <c r="I23" s="95">
        <f t="shared" si="0"/>
        <v>0.13888888888888895</v>
      </c>
      <c r="J23" s="105">
        <f t="shared" si="1"/>
        <v>0.2777777777777779</v>
      </c>
      <c r="K23" s="96" t="s">
        <v>542</v>
      </c>
      <c r="L23" s="96" t="s">
        <v>543</v>
      </c>
      <c r="M23" s="97" t="s">
        <v>322</v>
      </c>
      <c r="N23" s="98" t="s">
        <v>544</v>
      </c>
      <c r="O23" s="190">
        <v>1</v>
      </c>
      <c r="P23" s="108"/>
      <c r="Q23" s="108"/>
      <c r="R23" s="108"/>
      <c r="S23" s="108"/>
      <c r="T23" s="108"/>
      <c r="U23" s="108"/>
      <c r="V23" s="110"/>
      <c r="W23" s="99"/>
    </row>
    <row r="24" spans="1:23" s="100" customFormat="1" ht="120">
      <c r="A24" s="133" t="s">
        <v>702</v>
      </c>
      <c r="B24" s="109">
        <v>18</v>
      </c>
      <c r="C24" s="92" t="s">
        <v>321</v>
      </c>
      <c r="D24" s="187">
        <v>3</v>
      </c>
      <c r="E24" s="93">
        <v>46087</v>
      </c>
      <c r="F24" s="94">
        <v>0.375</v>
      </c>
      <c r="G24" s="93">
        <v>46087</v>
      </c>
      <c r="H24" s="94">
        <v>0.67361111111111116</v>
      </c>
      <c r="I24" s="95">
        <f t="shared" si="0"/>
        <v>0.29861111111111116</v>
      </c>
      <c r="J24" s="105">
        <f t="shared" si="1"/>
        <v>0.89583333333333348</v>
      </c>
      <c r="K24" s="96" t="s">
        <v>545</v>
      </c>
      <c r="L24" s="96" t="s">
        <v>546</v>
      </c>
      <c r="M24" s="97" t="s">
        <v>322</v>
      </c>
      <c r="N24" s="98" t="s">
        <v>547</v>
      </c>
      <c r="O24" s="190">
        <v>3</v>
      </c>
      <c r="P24" s="106"/>
      <c r="Q24" s="108">
        <v>7</v>
      </c>
      <c r="R24" s="108" t="s">
        <v>71</v>
      </c>
      <c r="S24" s="108"/>
      <c r="T24" s="108"/>
      <c r="U24" s="108"/>
      <c r="V24" s="108"/>
      <c r="W24" s="99"/>
    </row>
    <row r="25" spans="1:23" s="100" customFormat="1" ht="72" customHeight="1">
      <c r="A25" s="133" t="s">
        <v>702</v>
      </c>
      <c r="B25" s="182">
        <v>19</v>
      </c>
      <c r="C25" s="92" t="s">
        <v>321</v>
      </c>
      <c r="D25" s="187">
        <v>2</v>
      </c>
      <c r="E25" s="93">
        <v>46091</v>
      </c>
      <c r="F25" s="94">
        <v>0.54166666666666663</v>
      </c>
      <c r="G25" s="93">
        <v>46091</v>
      </c>
      <c r="H25" s="94">
        <v>0.68055555555555558</v>
      </c>
      <c r="I25" s="95">
        <f t="shared" si="0"/>
        <v>0.13888888888888895</v>
      </c>
      <c r="J25" s="105">
        <f t="shared" si="1"/>
        <v>0.2777777777777779</v>
      </c>
      <c r="K25" s="96" t="s">
        <v>548</v>
      </c>
      <c r="L25" s="96" t="s">
        <v>549</v>
      </c>
      <c r="M25" s="97" t="s">
        <v>322</v>
      </c>
      <c r="N25" s="98" t="s">
        <v>550</v>
      </c>
      <c r="O25" s="190" t="s">
        <v>71</v>
      </c>
      <c r="P25" s="108">
        <v>12</v>
      </c>
      <c r="Q25" s="108"/>
      <c r="R25" s="108"/>
      <c r="S25" s="108"/>
      <c r="T25" s="108"/>
      <c r="U25" s="108"/>
      <c r="V25" s="110"/>
      <c r="W25" s="99"/>
    </row>
    <row r="26" spans="1:23" s="100" customFormat="1" ht="96">
      <c r="A26" s="133" t="s">
        <v>702</v>
      </c>
      <c r="B26" s="109">
        <v>20</v>
      </c>
      <c r="C26" s="92" t="s">
        <v>321</v>
      </c>
      <c r="D26" s="187">
        <v>2</v>
      </c>
      <c r="E26" s="93">
        <v>46092</v>
      </c>
      <c r="F26" s="94">
        <v>0.375</v>
      </c>
      <c r="G26" s="93">
        <v>46092</v>
      </c>
      <c r="H26" s="94">
        <v>0.66666666666666663</v>
      </c>
      <c r="I26" s="95">
        <f t="shared" si="0"/>
        <v>0.29166666666666663</v>
      </c>
      <c r="J26" s="105">
        <f t="shared" si="1"/>
        <v>0.58333333333333326</v>
      </c>
      <c r="K26" s="96" t="s">
        <v>551</v>
      </c>
      <c r="L26" s="96" t="s">
        <v>552</v>
      </c>
      <c r="M26" s="97" t="s">
        <v>322</v>
      </c>
      <c r="N26" s="98" t="s">
        <v>553</v>
      </c>
      <c r="O26" s="190" t="s">
        <v>71</v>
      </c>
      <c r="P26" s="108">
        <v>17</v>
      </c>
      <c r="Q26" s="108"/>
      <c r="R26" s="108"/>
      <c r="S26" s="108" t="s">
        <v>71</v>
      </c>
      <c r="T26" s="108"/>
      <c r="U26" s="108"/>
      <c r="V26" s="108"/>
      <c r="W26" s="99"/>
    </row>
    <row r="27" spans="1:23" s="100" customFormat="1" ht="249" customHeight="1">
      <c r="A27" s="133" t="s">
        <v>702</v>
      </c>
      <c r="B27" s="109">
        <v>21</v>
      </c>
      <c r="C27" s="92" t="s">
        <v>321</v>
      </c>
      <c r="D27" s="187">
        <v>3</v>
      </c>
      <c r="E27" s="93">
        <v>46093</v>
      </c>
      <c r="F27" s="94">
        <v>0.375</v>
      </c>
      <c r="G27" s="93">
        <v>46093</v>
      </c>
      <c r="H27" s="94">
        <v>0.68055555555555558</v>
      </c>
      <c r="I27" s="95">
        <f t="shared" si="0"/>
        <v>0.30555555555555558</v>
      </c>
      <c r="J27" s="105">
        <f t="shared" si="1"/>
        <v>0.91666666666666674</v>
      </c>
      <c r="K27" s="96" t="s">
        <v>554</v>
      </c>
      <c r="L27" s="96" t="s">
        <v>555</v>
      </c>
      <c r="M27" s="97" t="s">
        <v>322</v>
      </c>
      <c r="N27" s="98" t="s">
        <v>556</v>
      </c>
      <c r="O27" s="190">
        <v>3</v>
      </c>
      <c r="P27" s="106"/>
      <c r="Q27" s="108">
        <v>2</v>
      </c>
      <c r="R27" s="108" t="s">
        <v>71</v>
      </c>
      <c r="S27" s="108" t="s">
        <v>71</v>
      </c>
      <c r="T27" s="108"/>
      <c r="U27" s="108"/>
      <c r="V27" s="108"/>
      <c r="W27" s="99"/>
    </row>
    <row r="28" spans="1:23" s="100" customFormat="1" ht="144">
      <c r="A28" s="133" t="s">
        <v>702</v>
      </c>
      <c r="B28" s="109">
        <v>22</v>
      </c>
      <c r="C28" s="92" t="s">
        <v>321</v>
      </c>
      <c r="D28" s="187">
        <v>3</v>
      </c>
      <c r="E28" s="93">
        <v>46097</v>
      </c>
      <c r="F28" s="94">
        <v>0.375</v>
      </c>
      <c r="G28" s="93">
        <v>46097</v>
      </c>
      <c r="H28" s="94">
        <v>0.68055555555555558</v>
      </c>
      <c r="I28" s="95">
        <f t="shared" si="0"/>
        <v>0.30555555555555558</v>
      </c>
      <c r="J28" s="105">
        <f t="shared" si="1"/>
        <v>0.91666666666666674</v>
      </c>
      <c r="K28" s="96" t="s">
        <v>557</v>
      </c>
      <c r="L28" s="96" t="s">
        <v>558</v>
      </c>
      <c r="M28" s="97" t="s">
        <v>322</v>
      </c>
      <c r="N28" s="98" t="s">
        <v>559</v>
      </c>
      <c r="O28" s="190">
        <v>3</v>
      </c>
      <c r="P28" s="108">
        <v>3</v>
      </c>
      <c r="Q28" s="108">
        <v>6</v>
      </c>
      <c r="R28" s="108" t="s">
        <v>71</v>
      </c>
      <c r="S28" s="108"/>
      <c r="T28" s="108"/>
      <c r="U28" s="108"/>
      <c r="V28" s="108"/>
      <c r="W28" s="99" t="s">
        <v>560</v>
      </c>
    </row>
    <row r="29" spans="1:23" s="100" customFormat="1" ht="96">
      <c r="A29" s="133" t="s">
        <v>702</v>
      </c>
      <c r="B29" s="109">
        <v>23</v>
      </c>
      <c r="C29" s="92" t="s">
        <v>321</v>
      </c>
      <c r="D29" s="187">
        <v>1</v>
      </c>
      <c r="E29" s="93">
        <v>46098</v>
      </c>
      <c r="F29" s="94">
        <v>0.375</v>
      </c>
      <c r="G29" s="93">
        <v>46098</v>
      </c>
      <c r="H29" s="94">
        <v>0.68055555555555558</v>
      </c>
      <c r="I29" s="95">
        <f t="shared" si="0"/>
        <v>0.30555555555555558</v>
      </c>
      <c r="J29" s="105">
        <f t="shared" si="1"/>
        <v>0.30555555555555558</v>
      </c>
      <c r="K29" s="96" t="s">
        <v>336</v>
      </c>
      <c r="L29" s="96" t="s">
        <v>561</v>
      </c>
      <c r="M29" s="97" t="s">
        <v>322</v>
      </c>
      <c r="N29" s="98" t="s">
        <v>562</v>
      </c>
      <c r="O29" s="190">
        <v>1</v>
      </c>
      <c r="P29" s="108">
        <v>1</v>
      </c>
      <c r="Q29" s="108">
        <v>3</v>
      </c>
      <c r="R29" s="108"/>
      <c r="S29" s="108" t="s">
        <v>71</v>
      </c>
      <c r="T29" s="108">
        <v>4</v>
      </c>
      <c r="U29" s="108"/>
      <c r="V29" s="108"/>
      <c r="W29" s="99"/>
    </row>
    <row r="30" spans="1:23" s="100" customFormat="1" ht="72" customHeight="1">
      <c r="A30" s="133" t="s">
        <v>702</v>
      </c>
      <c r="B30" s="109">
        <v>23</v>
      </c>
      <c r="C30" s="92" t="s">
        <v>321</v>
      </c>
      <c r="D30" s="187">
        <v>1</v>
      </c>
      <c r="E30" s="93">
        <v>46098</v>
      </c>
      <c r="F30" s="94">
        <v>0.375</v>
      </c>
      <c r="G30" s="93">
        <v>46098</v>
      </c>
      <c r="H30" s="94">
        <v>0.6875</v>
      </c>
      <c r="I30" s="95">
        <f t="shared" si="0"/>
        <v>0.3125</v>
      </c>
      <c r="J30" s="105">
        <f t="shared" si="1"/>
        <v>0.3125</v>
      </c>
      <c r="K30" s="96" t="s">
        <v>536</v>
      </c>
      <c r="L30" s="96" t="s">
        <v>563</v>
      </c>
      <c r="M30" s="97" t="s">
        <v>322</v>
      </c>
      <c r="N30" s="98" t="s">
        <v>564</v>
      </c>
      <c r="O30" s="190">
        <v>1</v>
      </c>
      <c r="P30" s="108"/>
      <c r="Q30" s="108"/>
      <c r="R30" s="108"/>
      <c r="S30" s="108"/>
      <c r="T30" s="108" t="s">
        <v>71</v>
      </c>
      <c r="U30" s="108"/>
      <c r="V30" s="110"/>
      <c r="W30" s="99"/>
    </row>
    <row r="31" spans="1:23" s="100" customFormat="1" ht="72" customHeight="1">
      <c r="A31" s="133" t="s">
        <v>702</v>
      </c>
      <c r="B31" s="182" t="s">
        <v>71</v>
      </c>
      <c r="C31" s="92" t="s">
        <v>321</v>
      </c>
      <c r="D31" s="187">
        <v>1</v>
      </c>
      <c r="E31" s="93">
        <v>46091</v>
      </c>
      <c r="F31" s="94">
        <v>0.54166666666666663</v>
      </c>
      <c r="G31" s="93">
        <v>46091</v>
      </c>
      <c r="H31" s="94">
        <v>0.68055555555555558</v>
      </c>
      <c r="I31" s="95">
        <f t="shared" si="0"/>
        <v>0.13888888888888895</v>
      </c>
      <c r="J31" s="105">
        <f t="shared" si="1"/>
        <v>0.13888888888888895</v>
      </c>
      <c r="K31" s="96">
        <v>103</v>
      </c>
      <c r="L31" s="96" t="s">
        <v>565</v>
      </c>
      <c r="M31" s="97" t="s">
        <v>322</v>
      </c>
      <c r="N31" s="98" t="s">
        <v>566</v>
      </c>
      <c r="O31" s="190">
        <v>1</v>
      </c>
      <c r="P31" s="108">
        <v>3</v>
      </c>
      <c r="Q31" s="108">
        <v>3</v>
      </c>
      <c r="R31" s="108">
        <v>18</v>
      </c>
      <c r="S31" s="108"/>
      <c r="T31" s="108"/>
      <c r="U31" s="108"/>
      <c r="V31" s="110"/>
      <c r="W31" s="99"/>
    </row>
    <row r="32" spans="1:23" s="100" customFormat="1" ht="72" customHeight="1">
      <c r="A32" s="133" t="s">
        <v>702</v>
      </c>
      <c r="B32" s="182">
        <v>24</v>
      </c>
      <c r="C32" s="92" t="s">
        <v>321</v>
      </c>
      <c r="D32" s="187">
        <v>1</v>
      </c>
      <c r="E32" s="93">
        <v>46091</v>
      </c>
      <c r="F32" s="94">
        <v>0.54166666666666663</v>
      </c>
      <c r="G32" s="93">
        <v>46091</v>
      </c>
      <c r="H32" s="94">
        <v>0.68055555555555558</v>
      </c>
      <c r="I32" s="95">
        <f t="shared" si="0"/>
        <v>0.13888888888888895</v>
      </c>
      <c r="J32" s="105">
        <f t="shared" si="1"/>
        <v>0.13888888888888895</v>
      </c>
      <c r="K32" s="96" t="s">
        <v>567</v>
      </c>
      <c r="L32" s="96" t="s">
        <v>568</v>
      </c>
      <c r="M32" s="97" t="s">
        <v>322</v>
      </c>
      <c r="N32" s="98" t="s">
        <v>569</v>
      </c>
      <c r="O32" s="190">
        <v>1</v>
      </c>
      <c r="P32" s="108">
        <v>3</v>
      </c>
      <c r="Q32" s="108">
        <v>2</v>
      </c>
      <c r="R32" s="108">
        <v>27</v>
      </c>
      <c r="S32" s="108"/>
      <c r="T32" s="108"/>
      <c r="U32" s="108"/>
      <c r="V32" s="110"/>
      <c r="W32" s="99"/>
    </row>
    <row r="33" spans="1:23" s="100" customFormat="1" ht="72" customHeight="1">
      <c r="A33" s="133" t="s">
        <v>702</v>
      </c>
      <c r="B33" s="182">
        <v>25</v>
      </c>
      <c r="C33" s="92" t="s">
        <v>321</v>
      </c>
      <c r="D33" s="187">
        <v>1</v>
      </c>
      <c r="E33" s="93">
        <v>46091</v>
      </c>
      <c r="F33" s="94">
        <v>0.54166666666666663</v>
      </c>
      <c r="G33" s="93">
        <v>46091</v>
      </c>
      <c r="H33" s="94">
        <v>0.68055555555555558</v>
      </c>
      <c r="I33" s="95">
        <f t="shared" si="0"/>
        <v>0.13888888888888895</v>
      </c>
      <c r="J33" s="105">
        <f t="shared" si="1"/>
        <v>0.13888888888888895</v>
      </c>
      <c r="K33" s="96" t="s">
        <v>570</v>
      </c>
      <c r="L33" s="96" t="s">
        <v>571</v>
      </c>
      <c r="M33" s="97" t="s">
        <v>322</v>
      </c>
      <c r="N33" s="98" t="s">
        <v>572</v>
      </c>
      <c r="O33" s="190">
        <v>1</v>
      </c>
      <c r="P33" s="108"/>
      <c r="Q33" s="108">
        <v>3</v>
      </c>
      <c r="R33" s="108">
        <v>15</v>
      </c>
      <c r="S33" s="108"/>
      <c r="T33" s="108"/>
      <c r="U33" s="108"/>
      <c r="V33" s="110"/>
      <c r="W33" s="99"/>
    </row>
    <row r="34" spans="1:23" s="100" customFormat="1" ht="72" customHeight="1">
      <c r="A34" s="133" t="s">
        <v>702</v>
      </c>
      <c r="B34" s="109">
        <v>26</v>
      </c>
      <c r="C34" s="92" t="s">
        <v>321</v>
      </c>
      <c r="D34" s="187">
        <v>1</v>
      </c>
      <c r="E34" s="93">
        <v>46098</v>
      </c>
      <c r="F34" s="94">
        <v>0.375</v>
      </c>
      <c r="G34" s="93">
        <v>46098</v>
      </c>
      <c r="H34" s="94">
        <v>0.6875</v>
      </c>
      <c r="I34" s="95">
        <f t="shared" si="0"/>
        <v>0.3125</v>
      </c>
      <c r="J34" s="105">
        <f t="shared" si="1"/>
        <v>0.3125</v>
      </c>
      <c r="K34" s="96" t="s">
        <v>573</v>
      </c>
      <c r="L34" s="96" t="s">
        <v>574</v>
      </c>
      <c r="M34" s="97" t="s">
        <v>322</v>
      </c>
      <c r="N34" s="98" t="s">
        <v>575</v>
      </c>
      <c r="O34" s="190" t="s">
        <v>71</v>
      </c>
      <c r="P34" s="108">
        <v>4</v>
      </c>
      <c r="Q34" s="108"/>
      <c r="R34" s="108"/>
      <c r="S34" s="108"/>
      <c r="T34" s="108"/>
      <c r="U34" s="108"/>
      <c r="V34" s="110"/>
      <c r="W34" s="99" t="s">
        <v>576</v>
      </c>
    </row>
    <row r="35" spans="1:23" s="100" customFormat="1" ht="144" customHeight="1">
      <c r="A35" s="133" t="s">
        <v>702</v>
      </c>
      <c r="B35" s="182">
        <v>27</v>
      </c>
      <c r="C35" s="92" t="s">
        <v>321</v>
      </c>
      <c r="D35" s="187">
        <v>1</v>
      </c>
      <c r="E35" s="93">
        <v>46125</v>
      </c>
      <c r="F35" s="94">
        <v>0.375</v>
      </c>
      <c r="G35" s="93">
        <f>E35</f>
        <v>46125</v>
      </c>
      <c r="H35" s="94">
        <v>0.67361111111111116</v>
      </c>
      <c r="I35" s="95">
        <f t="shared" si="0"/>
        <v>0.29861111111111116</v>
      </c>
      <c r="J35" s="105">
        <f t="shared" si="1"/>
        <v>0.29861111111111116</v>
      </c>
      <c r="K35" s="96" t="s">
        <v>577</v>
      </c>
      <c r="L35" s="96" t="s">
        <v>578</v>
      </c>
      <c r="M35" s="97" t="s">
        <v>322</v>
      </c>
      <c r="N35" s="98" t="s">
        <v>579</v>
      </c>
      <c r="O35" s="190">
        <v>1</v>
      </c>
      <c r="P35" s="108">
        <v>1</v>
      </c>
      <c r="Q35" s="108">
        <v>3</v>
      </c>
      <c r="R35" s="108">
        <v>3</v>
      </c>
      <c r="S35" s="108"/>
      <c r="T35" s="108"/>
      <c r="U35" s="108"/>
      <c r="V35" s="110"/>
      <c r="W35" s="99"/>
    </row>
    <row r="36" spans="1:23" s="100" customFormat="1" ht="72" customHeight="1">
      <c r="A36" s="133" t="s">
        <v>702</v>
      </c>
      <c r="B36" s="109">
        <v>28</v>
      </c>
      <c r="C36" s="92" t="s">
        <v>321</v>
      </c>
      <c r="D36" s="187">
        <v>1</v>
      </c>
      <c r="E36" s="93">
        <v>46126</v>
      </c>
      <c r="F36" s="94">
        <v>0.375</v>
      </c>
      <c r="G36" s="93">
        <f t="shared" ref="G36:G44" si="2">E36</f>
        <v>46126</v>
      </c>
      <c r="H36" s="94">
        <v>0.68055555555555558</v>
      </c>
      <c r="I36" s="95">
        <f t="shared" si="0"/>
        <v>0.30555555555555558</v>
      </c>
      <c r="J36" s="105">
        <f t="shared" si="1"/>
        <v>0.30555555555555558</v>
      </c>
      <c r="K36" s="96" t="s">
        <v>580</v>
      </c>
      <c r="L36" s="96" t="s">
        <v>581</v>
      </c>
      <c r="M36" s="97" t="s">
        <v>322</v>
      </c>
      <c r="N36" s="98" t="s">
        <v>582</v>
      </c>
      <c r="O36" s="190">
        <v>1</v>
      </c>
      <c r="P36" s="108">
        <v>3</v>
      </c>
      <c r="Q36" s="108">
        <v>4</v>
      </c>
      <c r="R36" s="108">
        <v>26</v>
      </c>
      <c r="S36" s="108"/>
      <c r="T36" s="108" t="s">
        <v>71</v>
      </c>
      <c r="U36" s="108"/>
      <c r="V36" s="110"/>
      <c r="W36" s="99"/>
    </row>
    <row r="37" spans="1:23" s="100" customFormat="1" ht="144" customHeight="1">
      <c r="A37" s="133" t="s">
        <v>702</v>
      </c>
      <c r="B37" s="182">
        <v>29</v>
      </c>
      <c r="C37" s="92" t="s">
        <v>321</v>
      </c>
      <c r="D37" s="187">
        <v>2</v>
      </c>
      <c r="E37" s="93">
        <v>46127</v>
      </c>
      <c r="F37" s="94">
        <v>0.375</v>
      </c>
      <c r="G37" s="93">
        <f t="shared" si="2"/>
        <v>46127</v>
      </c>
      <c r="H37" s="94">
        <v>0.68055555555555558</v>
      </c>
      <c r="I37" s="95">
        <f t="shared" si="0"/>
        <v>0.30555555555555558</v>
      </c>
      <c r="J37" s="105">
        <f t="shared" si="1"/>
        <v>0.61111111111111116</v>
      </c>
      <c r="K37" s="96" t="s">
        <v>583</v>
      </c>
      <c r="L37" s="96" t="s">
        <v>584</v>
      </c>
      <c r="M37" s="97" t="s">
        <v>322</v>
      </c>
      <c r="N37" s="98" t="s">
        <v>585</v>
      </c>
      <c r="O37" s="190">
        <v>2</v>
      </c>
      <c r="P37" s="108">
        <v>1</v>
      </c>
      <c r="Q37" s="108">
        <v>5</v>
      </c>
      <c r="R37" s="108">
        <v>3</v>
      </c>
      <c r="S37" s="108"/>
      <c r="T37" s="108"/>
      <c r="U37" s="108"/>
      <c r="V37" s="110"/>
      <c r="W37" s="99"/>
    </row>
    <row r="38" spans="1:23" s="100" customFormat="1" ht="144" customHeight="1">
      <c r="A38" s="133" t="s">
        <v>702</v>
      </c>
      <c r="B38" s="182">
        <v>30</v>
      </c>
      <c r="C38" s="92" t="s">
        <v>321</v>
      </c>
      <c r="D38" s="187">
        <v>3</v>
      </c>
      <c r="E38" s="93">
        <v>46128</v>
      </c>
      <c r="F38" s="94">
        <v>0.375</v>
      </c>
      <c r="G38" s="93">
        <f t="shared" si="2"/>
        <v>46128</v>
      </c>
      <c r="H38" s="94">
        <v>0.68055555555555558</v>
      </c>
      <c r="I38" s="95">
        <f t="shared" si="0"/>
        <v>0.30555555555555558</v>
      </c>
      <c r="J38" s="105">
        <f t="shared" si="1"/>
        <v>0.91666666666666674</v>
      </c>
      <c r="K38" s="96" t="s">
        <v>586</v>
      </c>
      <c r="L38" s="96" t="s">
        <v>587</v>
      </c>
      <c r="M38" s="97" t="s">
        <v>322</v>
      </c>
      <c r="N38" s="98" t="s">
        <v>588</v>
      </c>
      <c r="O38" s="190">
        <v>2.5</v>
      </c>
      <c r="P38" s="108">
        <v>3</v>
      </c>
      <c r="Q38" s="108">
        <v>3</v>
      </c>
      <c r="R38" s="108">
        <v>12</v>
      </c>
      <c r="S38" s="108"/>
      <c r="T38" s="108"/>
      <c r="U38" s="108"/>
      <c r="V38" s="110"/>
      <c r="W38" s="99"/>
    </row>
    <row r="39" spans="1:23" s="100" customFormat="1" ht="72" customHeight="1">
      <c r="A39" s="133" t="s">
        <v>702</v>
      </c>
      <c r="B39" s="182">
        <v>31</v>
      </c>
      <c r="C39" s="92" t="s">
        <v>321</v>
      </c>
      <c r="D39" s="187">
        <v>2</v>
      </c>
      <c r="E39" s="93">
        <v>46129</v>
      </c>
      <c r="F39" s="94">
        <v>0.375</v>
      </c>
      <c r="G39" s="93">
        <f t="shared" si="2"/>
        <v>46129</v>
      </c>
      <c r="H39" s="94">
        <v>0.68055555555555558</v>
      </c>
      <c r="I39" s="95">
        <f t="shared" si="0"/>
        <v>0.30555555555555558</v>
      </c>
      <c r="J39" s="105">
        <f t="shared" si="1"/>
        <v>0.61111111111111116</v>
      </c>
      <c r="K39" s="96" t="s">
        <v>589</v>
      </c>
      <c r="L39" s="96" t="s">
        <v>590</v>
      </c>
      <c r="M39" s="97" t="s">
        <v>322</v>
      </c>
      <c r="N39" s="98" t="s">
        <v>591</v>
      </c>
      <c r="O39" s="190">
        <v>1</v>
      </c>
      <c r="P39" s="108">
        <v>4</v>
      </c>
      <c r="Q39" s="108" t="s">
        <v>71</v>
      </c>
      <c r="R39" s="108" t="s">
        <v>71</v>
      </c>
      <c r="S39" s="108"/>
      <c r="T39" s="108"/>
      <c r="U39" s="108"/>
      <c r="V39" s="110"/>
      <c r="W39" s="99"/>
    </row>
    <row r="40" spans="1:23" s="100" customFormat="1" ht="72" customHeight="1">
      <c r="A40" s="133" t="s">
        <v>702</v>
      </c>
      <c r="B40" s="182">
        <v>32</v>
      </c>
      <c r="C40" s="92" t="s">
        <v>321</v>
      </c>
      <c r="D40" s="187">
        <v>1</v>
      </c>
      <c r="E40" s="93">
        <v>45789</v>
      </c>
      <c r="F40" s="94">
        <v>0.375</v>
      </c>
      <c r="G40" s="93">
        <f t="shared" si="2"/>
        <v>45789</v>
      </c>
      <c r="H40" s="94">
        <v>0.4375</v>
      </c>
      <c r="I40" s="95">
        <f t="shared" si="0"/>
        <v>6.25E-2</v>
      </c>
      <c r="J40" s="105">
        <f t="shared" si="1"/>
        <v>6.25E-2</v>
      </c>
      <c r="K40" s="183">
        <v>5</v>
      </c>
      <c r="L40" s="183">
        <v>505</v>
      </c>
      <c r="M40" s="97" t="s">
        <v>322</v>
      </c>
      <c r="N40" s="98" t="s">
        <v>592</v>
      </c>
      <c r="O40" s="190">
        <v>0.5</v>
      </c>
      <c r="P40" s="108"/>
      <c r="Q40" s="108"/>
      <c r="R40" s="108"/>
      <c r="S40" s="108"/>
      <c r="T40" s="108"/>
      <c r="U40" s="108"/>
      <c r="V40" s="108"/>
      <c r="W40" s="99" t="s">
        <v>71</v>
      </c>
    </row>
    <row r="41" spans="1:23" s="100" customFormat="1" ht="72" customHeight="1">
      <c r="A41" s="133" t="s">
        <v>702</v>
      </c>
      <c r="B41" s="182">
        <v>33</v>
      </c>
      <c r="C41" s="92" t="s">
        <v>321</v>
      </c>
      <c r="D41" s="187">
        <v>2</v>
      </c>
      <c r="E41" s="93">
        <v>46160</v>
      </c>
      <c r="F41" s="94">
        <v>0.375</v>
      </c>
      <c r="G41" s="93">
        <f t="shared" si="2"/>
        <v>46160</v>
      </c>
      <c r="H41" s="94">
        <v>0.67361111111111116</v>
      </c>
      <c r="I41" s="95">
        <f t="shared" si="0"/>
        <v>0.29861111111111116</v>
      </c>
      <c r="J41" s="105">
        <f t="shared" si="1"/>
        <v>0.59722222222222232</v>
      </c>
      <c r="K41" s="96">
        <v>3</v>
      </c>
      <c r="L41" s="96" t="s">
        <v>593</v>
      </c>
      <c r="M41" s="97" t="s">
        <v>322</v>
      </c>
      <c r="N41" s="98" t="s">
        <v>594</v>
      </c>
      <c r="O41" s="190">
        <v>2</v>
      </c>
      <c r="P41" s="108" t="s">
        <v>71</v>
      </c>
      <c r="Q41" s="108" t="s">
        <v>71</v>
      </c>
      <c r="R41" s="108" t="s">
        <v>71</v>
      </c>
      <c r="S41" s="108"/>
      <c r="T41" s="108"/>
      <c r="U41" s="108"/>
      <c r="V41" s="110"/>
      <c r="W41" s="99" t="s">
        <v>595</v>
      </c>
    </row>
    <row r="42" spans="1:23" s="100" customFormat="1" ht="72" customHeight="1">
      <c r="A42" s="133" t="s">
        <v>702</v>
      </c>
      <c r="B42" s="109">
        <v>34</v>
      </c>
      <c r="C42" s="92" t="s">
        <v>321</v>
      </c>
      <c r="D42" s="187">
        <v>2</v>
      </c>
      <c r="E42" s="93">
        <v>46161</v>
      </c>
      <c r="F42" s="94">
        <v>0.375</v>
      </c>
      <c r="G42" s="93">
        <f t="shared" si="2"/>
        <v>46161</v>
      </c>
      <c r="H42" s="94">
        <v>0.67361111111111116</v>
      </c>
      <c r="I42" s="95">
        <f t="shared" si="0"/>
        <v>0.29861111111111116</v>
      </c>
      <c r="J42" s="105">
        <f t="shared" si="1"/>
        <v>0.59722222222222232</v>
      </c>
      <c r="K42" s="96">
        <v>3</v>
      </c>
      <c r="L42" s="96" t="s">
        <v>593</v>
      </c>
      <c r="M42" s="97" t="s">
        <v>322</v>
      </c>
      <c r="N42" s="98" t="s">
        <v>596</v>
      </c>
      <c r="O42" s="190">
        <v>2</v>
      </c>
      <c r="P42" s="108" t="s">
        <v>71</v>
      </c>
      <c r="Q42" s="108" t="s">
        <v>71</v>
      </c>
      <c r="R42" s="108" t="s">
        <v>71</v>
      </c>
      <c r="S42" s="108"/>
      <c r="T42" s="108" t="s">
        <v>71</v>
      </c>
      <c r="U42" s="108"/>
      <c r="V42" s="110"/>
      <c r="W42" s="99" t="s">
        <v>597</v>
      </c>
    </row>
    <row r="43" spans="1:23" s="100" customFormat="1" ht="72" customHeight="1">
      <c r="A43" s="133" t="s">
        <v>702</v>
      </c>
      <c r="B43" s="109">
        <v>35</v>
      </c>
      <c r="C43" s="92" t="s">
        <v>321</v>
      </c>
      <c r="D43" s="187">
        <v>2</v>
      </c>
      <c r="E43" s="93">
        <v>46161</v>
      </c>
      <c r="F43" s="94">
        <v>0.54166666666666663</v>
      </c>
      <c r="G43" s="93">
        <f t="shared" si="2"/>
        <v>46161</v>
      </c>
      <c r="H43" s="94">
        <v>0.63888888888888884</v>
      </c>
      <c r="I43" s="95">
        <f t="shared" si="0"/>
        <v>9.722222222222221E-2</v>
      </c>
      <c r="J43" s="105">
        <f t="shared" si="1"/>
        <v>0.19444444444444442</v>
      </c>
      <c r="K43" s="96">
        <v>3</v>
      </c>
      <c r="L43" s="96" t="s">
        <v>593</v>
      </c>
      <c r="M43" s="97" t="s">
        <v>322</v>
      </c>
      <c r="N43" s="98" t="s">
        <v>598</v>
      </c>
      <c r="O43" s="190">
        <v>1</v>
      </c>
      <c r="P43" s="108" t="s">
        <v>71</v>
      </c>
      <c r="Q43" s="108" t="s">
        <v>71</v>
      </c>
      <c r="R43" s="108" t="s">
        <v>71</v>
      </c>
      <c r="S43" s="108"/>
      <c r="T43" s="108" t="s">
        <v>71</v>
      </c>
      <c r="U43" s="108"/>
      <c r="V43" s="110"/>
      <c r="W43" s="99"/>
    </row>
    <row r="44" spans="1:23" s="100" customFormat="1" ht="96">
      <c r="A44" s="133" t="s">
        <v>702</v>
      </c>
      <c r="B44" s="109">
        <v>36</v>
      </c>
      <c r="C44" s="92" t="s">
        <v>321</v>
      </c>
      <c r="D44" s="187">
        <v>2</v>
      </c>
      <c r="E44" s="93">
        <v>46162</v>
      </c>
      <c r="F44" s="94">
        <v>0.375</v>
      </c>
      <c r="G44" s="93">
        <f t="shared" si="2"/>
        <v>46162</v>
      </c>
      <c r="H44" s="94">
        <v>0.68055555555555558</v>
      </c>
      <c r="I44" s="95">
        <f t="shared" si="0"/>
        <v>0.30555555555555558</v>
      </c>
      <c r="J44" s="105">
        <f t="shared" si="1"/>
        <v>0.61111111111111116</v>
      </c>
      <c r="K44" s="96" t="s">
        <v>599</v>
      </c>
      <c r="L44" s="96" t="s">
        <v>600</v>
      </c>
      <c r="M44" s="97" t="s">
        <v>322</v>
      </c>
      <c r="N44" s="98" t="s">
        <v>601</v>
      </c>
      <c r="O44" s="190">
        <v>2</v>
      </c>
      <c r="P44" s="108">
        <v>1</v>
      </c>
      <c r="Q44" s="108">
        <v>3</v>
      </c>
      <c r="R44" s="108"/>
      <c r="S44" s="108" t="s">
        <v>71</v>
      </c>
      <c r="T44" s="108" t="s">
        <v>71</v>
      </c>
      <c r="U44" s="108"/>
      <c r="V44" s="108"/>
      <c r="W44" s="99" t="s">
        <v>602</v>
      </c>
    </row>
    <row r="45" spans="1:23" s="100" customFormat="1" ht="144" customHeight="1">
      <c r="A45" s="133" t="s">
        <v>702</v>
      </c>
      <c r="B45" s="182">
        <v>37</v>
      </c>
      <c r="C45" s="92" t="s">
        <v>321</v>
      </c>
      <c r="D45" s="187">
        <v>2</v>
      </c>
      <c r="E45" s="93">
        <v>46168</v>
      </c>
      <c r="F45" s="94">
        <v>0.375</v>
      </c>
      <c r="G45" s="93">
        <f>E45</f>
        <v>46168</v>
      </c>
      <c r="H45" s="94">
        <v>0.6875</v>
      </c>
      <c r="I45" s="95">
        <f t="shared" si="0"/>
        <v>0.3125</v>
      </c>
      <c r="J45" s="105">
        <f t="shared" si="1"/>
        <v>0.625</v>
      </c>
      <c r="K45" s="96" t="s">
        <v>603</v>
      </c>
      <c r="L45" s="96" t="s">
        <v>604</v>
      </c>
      <c r="M45" s="97" t="s">
        <v>322</v>
      </c>
      <c r="N45" s="98" t="s">
        <v>605</v>
      </c>
      <c r="O45" s="190">
        <v>2</v>
      </c>
      <c r="P45" s="108">
        <v>3</v>
      </c>
      <c r="Q45" s="108">
        <v>3</v>
      </c>
      <c r="R45" s="108" t="s">
        <v>71</v>
      </c>
      <c r="S45" s="108"/>
      <c r="T45" s="108"/>
      <c r="U45" s="108"/>
      <c r="V45" s="110"/>
      <c r="W45" s="99" t="s">
        <v>606</v>
      </c>
    </row>
    <row r="46" spans="1:23" s="100" customFormat="1" ht="120">
      <c r="A46" s="133" t="s">
        <v>702</v>
      </c>
      <c r="B46" s="109">
        <v>38</v>
      </c>
      <c r="C46" s="92" t="s">
        <v>321</v>
      </c>
      <c r="D46" s="187">
        <v>2</v>
      </c>
      <c r="E46" s="93">
        <v>46169</v>
      </c>
      <c r="F46" s="94">
        <v>0.375</v>
      </c>
      <c r="G46" s="93">
        <f>E46</f>
        <v>46169</v>
      </c>
      <c r="H46" s="94">
        <v>0.68055555555555558</v>
      </c>
      <c r="I46" s="95">
        <f t="shared" si="0"/>
        <v>0.30555555555555558</v>
      </c>
      <c r="J46" s="105">
        <f t="shared" si="1"/>
        <v>0.61111111111111116</v>
      </c>
      <c r="K46" s="96" t="s">
        <v>607</v>
      </c>
      <c r="L46" s="96" t="s">
        <v>608</v>
      </c>
      <c r="M46" s="97" t="s">
        <v>322</v>
      </c>
      <c r="N46" s="98" t="s">
        <v>609</v>
      </c>
      <c r="O46" s="190">
        <v>2</v>
      </c>
      <c r="P46" s="108">
        <v>1</v>
      </c>
      <c r="Q46" s="108">
        <v>3</v>
      </c>
      <c r="R46" s="108" t="s">
        <v>71</v>
      </c>
      <c r="S46" s="108"/>
      <c r="T46" s="108">
        <v>2</v>
      </c>
      <c r="U46" s="108">
        <v>2</v>
      </c>
      <c r="V46" s="108"/>
      <c r="W46" s="99"/>
    </row>
    <row r="47" spans="1:23" s="100" customFormat="1" ht="72" customHeight="1">
      <c r="A47" s="133" t="s">
        <v>702</v>
      </c>
      <c r="B47" s="182">
        <v>39</v>
      </c>
      <c r="C47" s="92" t="s">
        <v>321</v>
      </c>
      <c r="D47" s="187">
        <v>2</v>
      </c>
      <c r="E47" s="93">
        <v>46170</v>
      </c>
      <c r="F47" s="94">
        <v>0.375</v>
      </c>
      <c r="G47" s="93">
        <f t="shared" ref="G47:G71" si="3">E47</f>
        <v>46170</v>
      </c>
      <c r="H47" s="94">
        <v>0.68055555555555558</v>
      </c>
      <c r="I47" s="95">
        <f t="shared" si="0"/>
        <v>0.30555555555555558</v>
      </c>
      <c r="J47" s="105">
        <f t="shared" si="1"/>
        <v>0.61111111111111116</v>
      </c>
      <c r="K47" s="183">
        <v>3</v>
      </c>
      <c r="L47" s="183" t="s">
        <v>593</v>
      </c>
      <c r="M47" s="97" t="s">
        <v>322</v>
      </c>
      <c r="N47" s="98" t="s">
        <v>610</v>
      </c>
      <c r="O47" s="190">
        <v>2</v>
      </c>
      <c r="P47" s="108"/>
      <c r="Q47" s="108"/>
      <c r="R47" s="108"/>
      <c r="S47" s="108"/>
      <c r="T47" s="108"/>
      <c r="U47" s="108"/>
      <c r="V47" s="108"/>
      <c r="W47" s="99" t="s">
        <v>71</v>
      </c>
    </row>
    <row r="48" spans="1:23" s="100" customFormat="1" ht="72" customHeight="1">
      <c r="A48" s="133" t="s">
        <v>702</v>
      </c>
      <c r="B48" s="109">
        <v>40</v>
      </c>
      <c r="C48" s="92" t="s">
        <v>321</v>
      </c>
      <c r="D48" s="187">
        <v>2</v>
      </c>
      <c r="E48" s="93">
        <v>46171</v>
      </c>
      <c r="F48" s="94">
        <v>0.375</v>
      </c>
      <c r="G48" s="93">
        <f t="shared" si="3"/>
        <v>46171</v>
      </c>
      <c r="H48" s="94">
        <v>0.67361111111111116</v>
      </c>
      <c r="I48" s="95">
        <f t="shared" si="0"/>
        <v>0.29861111111111116</v>
      </c>
      <c r="J48" s="105">
        <f t="shared" si="1"/>
        <v>0.59722222222222232</v>
      </c>
      <c r="K48" s="96" t="s">
        <v>611</v>
      </c>
      <c r="L48" s="96" t="s">
        <v>612</v>
      </c>
      <c r="M48" s="97" t="s">
        <v>322</v>
      </c>
      <c r="N48" s="98" t="s">
        <v>613</v>
      </c>
      <c r="O48" s="190">
        <v>2</v>
      </c>
      <c r="P48" s="108">
        <v>4</v>
      </c>
      <c r="Q48" s="108" t="s">
        <v>71</v>
      </c>
      <c r="R48" s="108" t="s">
        <v>71</v>
      </c>
      <c r="S48" s="108"/>
      <c r="T48" s="108" t="s">
        <v>71</v>
      </c>
      <c r="U48" s="108"/>
      <c r="V48" s="110"/>
      <c r="W48" s="99"/>
    </row>
    <row r="49" spans="1:23" s="100" customFormat="1" ht="72" customHeight="1">
      <c r="A49" s="133" t="s">
        <v>702</v>
      </c>
      <c r="B49" s="182">
        <v>41</v>
      </c>
      <c r="C49" s="92" t="s">
        <v>321</v>
      </c>
      <c r="D49" s="187">
        <v>2</v>
      </c>
      <c r="E49" s="93">
        <v>46174</v>
      </c>
      <c r="F49" s="94">
        <v>0.375</v>
      </c>
      <c r="G49" s="93">
        <f t="shared" si="3"/>
        <v>46174</v>
      </c>
      <c r="H49" s="94">
        <v>0.68055555555555558</v>
      </c>
      <c r="I49" s="95">
        <f t="shared" si="0"/>
        <v>0.30555555555555558</v>
      </c>
      <c r="J49" s="105">
        <f t="shared" si="1"/>
        <v>0.61111111111111116</v>
      </c>
      <c r="K49" s="183">
        <v>3</v>
      </c>
      <c r="L49" s="183" t="s">
        <v>593</v>
      </c>
      <c r="M49" s="97" t="s">
        <v>322</v>
      </c>
      <c r="N49" s="98" t="s">
        <v>610</v>
      </c>
      <c r="O49" s="190">
        <v>2</v>
      </c>
      <c r="P49" s="108"/>
      <c r="Q49" s="108"/>
      <c r="R49" s="108"/>
      <c r="S49" s="108"/>
      <c r="T49" s="108"/>
      <c r="U49" s="108"/>
      <c r="V49" s="108"/>
      <c r="W49" s="99" t="s">
        <v>71</v>
      </c>
    </row>
    <row r="50" spans="1:23" s="100" customFormat="1" ht="72" customHeight="1">
      <c r="A50" s="133" t="s">
        <v>702</v>
      </c>
      <c r="B50" s="109">
        <v>42</v>
      </c>
      <c r="C50" s="92" t="s">
        <v>321</v>
      </c>
      <c r="D50" s="187">
        <v>2</v>
      </c>
      <c r="E50" s="93">
        <v>46184</v>
      </c>
      <c r="F50" s="94">
        <v>0.375</v>
      </c>
      <c r="G50" s="93">
        <f t="shared" si="3"/>
        <v>46184</v>
      </c>
      <c r="H50" s="94">
        <v>0.68055555555555558</v>
      </c>
      <c r="I50" s="95">
        <f t="shared" si="0"/>
        <v>0.30555555555555558</v>
      </c>
      <c r="J50" s="105">
        <f t="shared" si="1"/>
        <v>0.61111111111111116</v>
      </c>
      <c r="K50" s="96" t="s">
        <v>614</v>
      </c>
      <c r="L50" s="96" t="s">
        <v>615</v>
      </c>
      <c r="M50" s="97" t="s">
        <v>322</v>
      </c>
      <c r="N50" s="98" t="s">
        <v>616</v>
      </c>
      <c r="O50" s="190">
        <v>2</v>
      </c>
      <c r="P50" s="108" t="s">
        <v>71</v>
      </c>
      <c r="Q50" s="108" t="s">
        <v>71</v>
      </c>
      <c r="R50" s="108" t="s">
        <v>71</v>
      </c>
      <c r="S50" s="108"/>
      <c r="T50" s="108" t="s">
        <v>71</v>
      </c>
      <c r="U50" s="108"/>
      <c r="V50" s="110"/>
      <c r="W50" s="99"/>
    </row>
    <row r="51" spans="1:23" s="100" customFormat="1" ht="72" customHeight="1">
      <c r="A51" s="133" t="s">
        <v>702</v>
      </c>
      <c r="B51" s="109">
        <v>43</v>
      </c>
      <c r="C51" s="92" t="s">
        <v>321</v>
      </c>
      <c r="D51" s="187">
        <v>1</v>
      </c>
      <c r="E51" s="93">
        <v>46185</v>
      </c>
      <c r="F51" s="94">
        <v>0.375</v>
      </c>
      <c r="G51" s="93">
        <f t="shared" si="3"/>
        <v>46185</v>
      </c>
      <c r="H51" s="94">
        <v>0.66666666666666663</v>
      </c>
      <c r="I51" s="95">
        <f t="shared" si="0"/>
        <v>0.29166666666666663</v>
      </c>
      <c r="J51" s="105">
        <f t="shared" si="1"/>
        <v>0.29166666666666663</v>
      </c>
      <c r="K51" s="96">
        <v>7</v>
      </c>
      <c r="L51" s="96">
        <v>303</v>
      </c>
      <c r="M51" s="97" t="s">
        <v>322</v>
      </c>
      <c r="N51" s="96" t="s">
        <v>617</v>
      </c>
      <c r="O51" s="190">
        <v>0.5</v>
      </c>
      <c r="P51" s="108" t="s">
        <v>71</v>
      </c>
      <c r="Q51" s="108" t="s">
        <v>71</v>
      </c>
      <c r="R51" s="108" t="s">
        <v>71</v>
      </c>
      <c r="S51" s="108"/>
      <c r="T51" s="108" t="s">
        <v>71</v>
      </c>
      <c r="U51" s="108"/>
      <c r="V51" s="110"/>
      <c r="W51" s="99"/>
    </row>
    <row r="52" spans="1:23" s="100" customFormat="1" ht="72" customHeight="1">
      <c r="A52" s="133" t="s">
        <v>702</v>
      </c>
      <c r="B52" s="182">
        <v>44</v>
      </c>
      <c r="C52" s="92" t="s">
        <v>321</v>
      </c>
      <c r="D52" s="187">
        <v>3</v>
      </c>
      <c r="E52" s="93">
        <v>46188</v>
      </c>
      <c r="F52" s="94">
        <v>0.375</v>
      </c>
      <c r="G52" s="93">
        <f t="shared" si="3"/>
        <v>46188</v>
      </c>
      <c r="H52" s="94">
        <v>0.68055555555555558</v>
      </c>
      <c r="I52" s="95">
        <f t="shared" si="0"/>
        <v>0.30555555555555558</v>
      </c>
      <c r="J52" s="105">
        <f t="shared" si="1"/>
        <v>0.91666666666666674</v>
      </c>
      <c r="K52" s="183">
        <v>3</v>
      </c>
      <c r="L52" s="183" t="s">
        <v>618</v>
      </c>
      <c r="M52" s="97" t="s">
        <v>322</v>
      </c>
      <c r="N52" s="98" t="s">
        <v>619</v>
      </c>
      <c r="O52" s="190">
        <v>3</v>
      </c>
      <c r="P52" s="108" t="s">
        <v>71</v>
      </c>
      <c r="Q52" s="108" t="s">
        <v>71</v>
      </c>
      <c r="R52" s="108" t="s">
        <v>71</v>
      </c>
      <c r="S52" s="108"/>
      <c r="T52" s="108" t="s">
        <v>71</v>
      </c>
      <c r="U52" s="108"/>
      <c r="V52" s="110"/>
      <c r="W52" s="99"/>
    </row>
    <row r="53" spans="1:23" s="100" customFormat="1" ht="72" customHeight="1">
      <c r="A53" s="133" t="s">
        <v>702</v>
      </c>
      <c r="B53" s="182">
        <v>45</v>
      </c>
      <c r="C53" s="92" t="s">
        <v>321</v>
      </c>
      <c r="D53" s="187">
        <v>3</v>
      </c>
      <c r="E53" s="93">
        <v>46189</v>
      </c>
      <c r="F53" s="94">
        <v>0.375</v>
      </c>
      <c r="G53" s="93">
        <f t="shared" si="3"/>
        <v>46189</v>
      </c>
      <c r="H53" s="94">
        <v>0.68055555555555558</v>
      </c>
      <c r="I53" s="95">
        <f t="shared" si="0"/>
        <v>0.30555555555555558</v>
      </c>
      <c r="J53" s="105">
        <f t="shared" si="1"/>
        <v>0.91666666666666674</v>
      </c>
      <c r="K53" s="183">
        <v>3</v>
      </c>
      <c r="L53" s="183" t="s">
        <v>618</v>
      </c>
      <c r="M53" s="97" t="s">
        <v>322</v>
      </c>
      <c r="N53" s="98" t="s">
        <v>620</v>
      </c>
      <c r="O53" s="190">
        <v>3</v>
      </c>
      <c r="P53" s="108" t="s">
        <v>71</v>
      </c>
      <c r="Q53" s="108" t="s">
        <v>71</v>
      </c>
      <c r="R53" s="108" t="s">
        <v>71</v>
      </c>
      <c r="S53" s="108"/>
      <c r="T53" s="108" t="s">
        <v>71</v>
      </c>
      <c r="U53" s="108"/>
      <c r="V53" s="110"/>
      <c r="W53" s="99"/>
    </row>
    <row r="54" spans="1:23" s="100" customFormat="1" ht="72" customHeight="1">
      <c r="A54" s="133" t="s">
        <v>702</v>
      </c>
      <c r="B54" s="182">
        <v>46</v>
      </c>
      <c r="C54" s="92" t="s">
        <v>321</v>
      </c>
      <c r="D54" s="187">
        <v>3</v>
      </c>
      <c r="E54" s="93">
        <v>46190</v>
      </c>
      <c r="F54" s="94">
        <v>0.375</v>
      </c>
      <c r="G54" s="93">
        <f t="shared" si="3"/>
        <v>46190</v>
      </c>
      <c r="H54" s="94">
        <v>0.68055555555555558</v>
      </c>
      <c r="I54" s="95">
        <f t="shared" si="0"/>
        <v>0.30555555555555558</v>
      </c>
      <c r="J54" s="105">
        <f t="shared" si="1"/>
        <v>0.91666666666666674</v>
      </c>
      <c r="K54" s="183">
        <v>3</v>
      </c>
      <c r="L54" s="183" t="s">
        <v>618</v>
      </c>
      <c r="M54" s="97" t="s">
        <v>322</v>
      </c>
      <c r="N54" s="98" t="s">
        <v>621</v>
      </c>
      <c r="O54" s="190">
        <v>3</v>
      </c>
      <c r="P54" s="108" t="s">
        <v>71</v>
      </c>
      <c r="Q54" s="108" t="s">
        <v>71</v>
      </c>
      <c r="R54" s="108" t="s">
        <v>71</v>
      </c>
      <c r="S54" s="108"/>
      <c r="T54" s="108" t="s">
        <v>71</v>
      </c>
      <c r="U54" s="108"/>
      <c r="V54" s="110"/>
      <c r="W54" s="99"/>
    </row>
    <row r="55" spans="1:23" s="100" customFormat="1" ht="168">
      <c r="A55" s="133" t="s">
        <v>702</v>
      </c>
      <c r="B55" s="109">
        <v>47</v>
      </c>
      <c r="C55" s="92" t="s">
        <v>321</v>
      </c>
      <c r="D55" s="187">
        <v>2</v>
      </c>
      <c r="E55" s="93">
        <v>46191</v>
      </c>
      <c r="F55" s="94">
        <v>0.375</v>
      </c>
      <c r="G55" s="93">
        <f t="shared" si="3"/>
        <v>46191</v>
      </c>
      <c r="H55" s="94">
        <v>0.68055555555555558</v>
      </c>
      <c r="I55" s="95">
        <f t="shared" si="0"/>
        <v>0.30555555555555558</v>
      </c>
      <c r="J55" s="105">
        <f t="shared" si="1"/>
        <v>0.61111111111111116</v>
      </c>
      <c r="K55" s="96" t="s">
        <v>622</v>
      </c>
      <c r="L55" s="96" t="s">
        <v>623</v>
      </c>
      <c r="M55" s="97" t="s">
        <v>322</v>
      </c>
      <c r="N55" s="98" t="s">
        <v>624</v>
      </c>
      <c r="O55" s="190">
        <v>2</v>
      </c>
      <c r="P55" s="108">
        <v>2</v>
      </c>
      <c r="Q55" s="108">
        <v>4</v>
      </c>
      <c r="R55" s="108">
        <v>25</v>
      </c>
      <c r="S55" s="108"/>
      <c r="T55" s="108"/>
      <c r="U55" s="108"/>
      <c r="V55" s="108"/>
      <c r="W55" s="99"/>
    </row>
    <row r="56" spans="1:23" s="100" customFormat="1" ht="72" customHeight="1">
      <c r="A56" s="133" t="s">
        <v>702</v>
      </c>
      <c r="B56" s="182">
        <v>48</v>
      </c>
      <c r="C56" s="92" t="s">
        <v>321</v>
      </c>
      <c r="D56" s="187">
        <v>1</v>
      </c>
      <c r="E56" s="93">
        <v>46192</v>
      </c>
      <c r="F56" s="94">
        <v>0.375</v>
      </c>
      <c r="G56" s="93">
        <f t="shared" si="3"/>
        <v>46192</v>
      </c>
      <c r="H56" s="94">
        <v>0.68055555555555558</v>
      </c>
      <c r="I56" s="95">
        <f t="shared" si="0"/>
        <v>0.30555555555555558</v>
      </c>
      <c r="J56" s="105">
        <f t="shared" si="1"/>
        <v>0.30555555555555558</v>
      </c>
      <c r="K56" s="183">
        <v>5</v>
      </c>
      <c r="L56" s="183">
        <v>502</v>
      </c>
      <c r="M56" s="97" t="s">
        <v>322</v>
      </c>
      <c r="N56" s="98" t="s">
        <v>487</v>
      </c>
      <c r="O56" s="190" t="s">
        <v>71</v>
      </c>
      <c r="P56" s="108">
        <v>7</v>
      </c>
      <c r="Q56" s="108" t="s">
        <v>71</v>
      </c>
      <c r="R56" s="108" t="s">
        <v>71</v>
      </c>
      <c r="S56" s="108"/>
      <c r="T56" s="108" t="s">
        <v>71</v>
      </c>
      <c r="U56" s="108"/>
      <c r="V56" s="110"/>
      <c r="W56" s="99"/>
    </row>
    <row r="57" spans="1:23" s="100" customFormat="1" ht="72" customHeight="1">
      <c r="A57" s="133" t="s">
        <v>702</v>
      </c>
      <c r="B57" s="182">
        <v>49</v>
      </c>
      <c r="C57" s="92" t="s">
        <v>321</v>
      </c>
      <c r="D57" s="187">
        <v>3</v>
      </c>
      <c r="E57" s="93">
        <v>46195</v>
      </c>
      <c r="F57" s="94">
        <v>0.375</v>
      </c>
      <c r="G57" s="93">
        <f t="shared" si="3"/>
        <v>46195</v>
      </c>
      <c r="H57" s="94">
        <v>0.66666666666666663</v>
      </c>
      <c r="I57" s="95">
        <f t="shared" si="0"/>
        <v>0.29166666666666663</v>
      </c>
      <c r="J57" s="105">
        <f t="shared" si="1"/>
        <v>0.87499999999999989</v>
      </c>
      <c r="K57" s="183">
        <v>3</v>
      </c>
      <c r="L57" s="183" t="s">
        <v>618</v>
      </c>
      <c r="M57" s="97" t="s">
        <v>322</v>
      </c>
      <c r="N57" s="98" t="s">
        <v>625</v>
      </c>
      <c r="O57" s="190">
        <v>3</v>
      </c>
      <c r="P57" s="108" t="s">
        <v>71</v>
      </c>
      <c r="Q57" s="108" t="s">
        <v>71</v>
      </c>
      <c r="R57" s="108" t="s">
        <v>71</v>
      </c>
      <c r="S57" s="108"/>
      <c r="T57" s="108" t="s">
        <v>71</v>
      </c>
      <c r="U57" s="108"/>
      <c r="V57" s="110"/>
      <c r="W57" s="99"/>
    </row>
    <row r="58" spans="1:23" s="100" customFormat="1" ht="168">
      <c r="A58" s="133" t="s">
        <v>702</v>
      </c>
      <c r="B58" s="109">
        <v>50</v>
      </c>
      <c r="C58" s="92" t="s">
        <v>321</v>
      </c>
      <c r="D58" s="187">
        <v>1</v>
      </c>
      <c r="E58" s="93">
        <v>46196</v>
      </c>
      <c r="F58" s="94">
        <v>0.375</v>
      </c>
      <c r="G58" s="93">
        <f t="shared" si="3"/>
        <v>46196</v>
      </c>
      <c r="H58" s="94">
        <v>0.68055555555555558</v>
      </c>
      <c r="I58" s="95">
        <f t="shared" si="0"/>
        <v>0.30555555555555558</v>
      </c>
      <c r="J58" s="105">
        <f t="shared" si="1"/>
        <v>0.30555555555555558</v>
      </c>
      <c r="K58" s="96" t="s">
        <v>626</v>
      </c>
      <c r="L58" s="96" t="s">
        <v>627</v>
      </c>
      <c r="M58" s="97" t="s">
        <v>322</v>
      </c>
      <c r="N58" s="98" t="s">
        <v>628</v>
      </c>
      <c r="O58" s="190">
        <v>1</v>
      </c>
      <c r="P58" s="108" t="s">
        <v>71</v>
      </c>
      <c r="Q58" s="108">
        <v>3</v>
      </c>
      <c r="R58" s="108" t="s">
        <v>71</v>
      </c>
      <c r="S58" s="108"/>
      <c r="T58" s="108"/>
      <c r="U58" s="108"/>
      <c r="V58" s="108"/>
      <c r="W58" s="99"/>
    </row>
    <row r="59" spans="1:23" s="100" customFormat="1" ht="72" customHeight="1">
      <c r="A59" s="133" t="s">
        <v>702</v>
      </c>
      <c r="B59" s="182">
        <v>51</v>
      </c>
      <c r="C59" s="92" t="s">
        <v>321</v>
      </c>
      <c r="D59" s="187">
        <v>2</v>
      </c>
      <c r="E59" s="93">
        <v>46197</v>
      </c>
      <c r="F59" s="94">
        <v>0.375</v>
      </c>
      <c r="G59" s="93">
        <f t="shared" si="3"/>
        <v>46197</v>
      </c>
      <c r="H59" s="94">
        <v>0.5625</v>
      </c>
      <c r="I59" s="95">
        <f t="shared" si="0"/>
        <v>0.1875</v>
      </c>
      <c r="J59" s="105">
        <f t="shared" si="1"/>
        <v>0.375</v>
      </c>
      <c r="K59" s="183">
        <v>3</v>
      </c>
      <c r="L59" s="183" t="s">
        <v>618</v>
      </c>
      <c r="M59" s="97" t="s">
        <v>322</v>
      </c>
      <c r="N59" s="98" t="s">
        <v>629</v>
      </c>
      <c r="O59" s="190">
        <v>1</v>
      </c>
      <c r="P59" s="108" t="s">
        <v>71</v>
      </c>
      <c r="Q59" s="108" t="s">
        <v>71</v>
      </c>
      <c r="R59" s="108" t="s">
        <v>71</v>
      </c>
      <c r="S59" s="108"/>
      <c r="T59" s="108" t="s">
        <v>71</v>
      </c>
      <c r="U59" s="108"/>
      <c r="V59" s="110"/>
      <c r="W59" s="99"/>
    </row>
    <row r="60" spans="1:23" s="100" customFormat="1" ht="72" customHeight="1">
      <c r="A60" s="133" t="s">
        <v>702</v>
      </c>
      <c r="B60" s="182">
        <v>52</v>
      </c>
      <c r="C60" s="92" t="s">
        <v>321</v>
      </c>
      <c r="D60" s="187">
        <v>2</v>
      </c>
      <c r="E60" s="93">
        <v>46198</v>
      </c>
      <c r="F60" s="94">
        <v>0.375</v>
      </c>
      <c r="G60" s="93">
        <f t="shared" si="3"/>
        <v>46198</v>
      </c>
      <c r="H60" s="94">
        <v>0.68055555555555558</v>
      </c>
      <c r="I60" s="95">
        <f t="shared" si="0"/>
        <v>0.30555555555555558</v>
      </c>
      <c r="J60" s="105">
        <f t="shared" si="1"/>
        <v>0.61111111111111116</v>
      </c>
      <c r="K60" s="96" t="s">
        <v>630</v>
      </c>
      <c r="L60" s="96" t="s">
        <v>631</v>
      </c>
      <c r="M60" s="97" t="s">
        <v>322</v>
      </c>
      <c r="N60" s="98" t="s">
        <v>632</v>
      </c>
      <c r="O60" s="190">
        <v>2</v>
      </c>
      <c r="P60" s="108" t="s">
        <v>71</v>
      </c>
      <c r="Q60" s="108" t="s">
        <v>71</v>
      </c>
      <c r="R60" s="108" t="s">
        <v>71</v>
      </c>
      <c r="S60" s="108"/>
      <c r="T60" s="108" t="s">
        <v>71</v>
      </c>
      <c r="U60" s="108"/>
      <c r="V60" s="110"/>
      <c r="W60" s="99" t="s">
        <v>633</v>
      </c>
    </row>
    <row r="61" spans="1:23" s="100" customFormat="1" ht="72" customHeight="1">
      <c r="A61" s="133" t="s">
        <v>702</v>
      </c>
      <c r="B61" s="182">
        <v>53</v>
      </c>
      <c r="C61" s="92" t="s">
        <v>321</v>
      </c>
      <c r="D61" s="187">
        <v>2</v>
      </c>
      <c r="E61" s="93">
        <v>46199</v>
      </c>
      <c r="F61" s="94">
        <v>0.375</v>
      </c>
      <c r="G61" s="93">
        <f t="shared" si="3"/>
        <v>46199</v>
      </c>
      <c r="H61" s="94">
        <v>0.67361111111111116</v>
      </c>
      <c r="I61" s="95">
        <f t="shared" si="0"/>
        <v>0.29861111111111116</v>
      </c>
      <c r="J61" s="105">
        <f t="shared" si="1"/>
        <v>0.59722222222222232</v>
      </c>
      <c r="K61" s="183">
        <v>1</v>
      </c>
      <c r="L61" s="183" t="s">
        <v>634</v>
      </c>
      <c r="M61" s="97" t="s">
        <v>322</v>
      </c>
      <c r="N61" s="98" t="s">
        <v>635</v>
      </c>
      <c r="O61" s="190">
        <v>2</v>
      </c>
      <c r="P61" s="108" t="s">
        <v>71</v>
      </c>
      <c r="Q61" s="108" t="s">
        <v>71</v>
      </c>
      <c r="R61" s="108" t="s">
        <v>71</v>
      </c>
      <c r="S61" s="108"/>
      <c r="T61" s="108" t="s">
        <v>71</v>
      </c>
      <c r="U61" s="108"/>
      <c r="V61" s="110"/>
      <c r="W61" s="99" t="s">
        <v>636</v>
      </c>
    </row>
    <row r="62" spans="1:23" s="100" customFormat="1" ht="72" customHeight="1">
      <c r="A62" s="133" t="s">
        <v>702</v>
      </c>
      <c r="B62" s="182">
        <v>54</v>
      </c>
      <c r="C62" s="92" t="s">
        <v>321</v>
      </c>
      <c r="D62" s="187">
        <v>2</v>
      </c>
      <c r="E62" s="93">
        <v>46202</v>
      </c>
      <c r="F62" s="94">
        <v>0.375</v>
      </c>
      <c r="G62" s="93">
        <f t="shared" si="3"/>
        <v>46202</v>
      </c>
      <c r="H62" s="94">
        <v>0.67361111111111116</v>
      </c>
      <c r="I62" s="95">
        <f t="shared" si="0"/>
        <v>0.29861111111111116</v>
      </c>
      <c r="J62" s="105">
        <f t="shared" si="1"/>
        <v>0.59722222222222232</v>
      </c>
      <c r="K62" s="183">
        <v>1</v>
      </c>
      <c r="L62" s="183" t="s">
        <v>634</v>
      </c>
      <c r="M62" s="97" t="s">
        <v>322</v>
      </c>
      <c r="N62" s="98" t="s">
        <v>635</v>
      </c>
      <c r="O62" s="190">
        <v>2</v>
      </c>
      <c r="P62" s="108" t="s">
        <v>71</v>
      </c>
      <c r="Q62" s="108" t="s">
        <v>71</v>
      </c>
      <c r="R62" s="108" t="s">
        <v>71</v>
      </c>
      <c r="S62" s="108"/>
      <c r="T62" s="108" t="s">
        <v>71</v>
      </c>
      <c r="U62" s="108"/>
      <c r="V62" s="110"/>
      <c r="W62" s="99" t="s">
        <v>637</v>
      </c>
    </row>
    <row r="63" spans="1:23" s="100" customFormat="1" ht="72" customHeight="1">
      <c r="A63" s="133" t="s">
        <v>702</v>
      </c>
      <c r="B63" s="109">
        <v>55</v>
      </c>
      <c r="C63" s="92" t="s">
        <v>321</v>
      </c>
      <c r="D63" s="187">
        <v>1</v>
      </c>
      <c r="E63" s="93">
        <v>46202</v>
      </c>
      <c r="F63" s="94">
        <v>0.375</v>
      </c>
      <c r="G63" s="93">
        <f t="shared" si="3"/>
        <v>46202</v>
      </c>
      <c r="H63" s="94">
        <v>0.67361111111111116</v>
      </c>
      <c r="I63" s="95">
        <f t="shared" si="0"/>
        <v>0.29861111111111116</v>
      </c>
      <c r="J63" s="105">
        <f t="shared" si="1"/>
        <v>0.29861111111111116</v>
      </c>
      <c r="K63" s="96" t="s">
        <v>536</v>
      </c>
      <c r="L63" s="96" t="s">
        <v>638</v>
      </c>
      <c r="M63" s="97" t="s">
        <v>322</v>
      </c>
      <c r="N63" s="98" t="s">
        <v>639</v>
      </c>
      <c r="O63" s="190">
        <v>1</v>
      </c>
      <c r="P63" s="108" t="s">
        <v>71</v>
      </c>
      <c r="Q63" s="108" t="s">
        <v>71</v>
      </c>
      <c r="R63" s="108" t="s">
        <v>71</v>
      </c>
      <c r="S63" s="108"/>
      <c r="T63" s="108" t="s">
        <v>71</v>
      </c>
      <c r="U63" s="108"/>
      <c r="V63" s="110"/>
      <c r="W63" s="99"/>
    </row>
    <row r="64" spans="1:23" s="100" customFormat="1" ht="96">
      <c r="A64" s="133" t="s">
        <v>702</v>
      </c>
      <c r="B64" s="109">
        <v>56</v>
      </c>
      <c r="C64" s="92" t="s">
        <v>321</v>
      </c>
      <c r="D64" s="187">
        <v>1</v>
      </c>
      <c r="E64" s="93">
        <v>46203</v>
      </c>
      <c r="F64" s="94">
        <v>0.54166666666666663</v>
      </c>
      <c r="G64" s="93">
        <f t="shared" si="3"/>
        <v>46203</v>
      </c>
      <c r="H64" s="94">
        <v>0.66666666666666663</v>
      </c>
      <c r="I64" s="95">
        <f t="shared" si="0"/>
        <v>0.125</v>
      </c>
      <c r="J64" s="105">
        <f t="shared" si="1"/>
        <v>0.125</v>
      </c>
      <c r="K64" s="96" t="s">
        <v>640</v>
      </c>
      <c r="L64" s="96" t="s">
        <v>641</v>
      </c>
      <c r="M64" s="97" t="s">
        <v>322</v>
      </c>
      <c r="N64" s="98" t="s">
        <v>642</v>
      </c>
      <c r="O64" s="190" t="s">
        <v>71</v>
      </c>
      <c r="P64" s="108" t="s">
        <v>71</v>
      </c>
      <c r="Q64" s="108" t="s">
        <v>71</v>
      </c>
      <c r="R64" s="108"/>
      <c r="S64" s="108" t="s">
        <v>71</v>
      </c>
      <c r="T64" s="108" t="s">
        <v>71</v>
      </c>
      <c r="U64" s="108"/>
      <c r="V64" s="108"/>
      <c r="W64" s="99" t="s">
        <v>643</v>
      </c>
    </row>
    <row r="65" spans="1:23" s="100" customFormat="1" ht="72" customHeight="1">
      <c r="A65" s="133" t="s">
        <v>702</v>
      </c>
      <c r="B65" s="182">
        <v>57</v>
      </c>
      <c r="C65" s="92" t="s">
        <v>321</v>
      </c>
      <c r="D65" s="187">
        <v>1</v>
      </c>
      <c r="E65" s="93">
        <v>46204</v>
      </c>
      <c r="F65" s="94">
        <v>0.54166666666666663</v>
      </c>
      <c r="G65" s="93">
        <f t="shared" si="3"/>
        <v>46204</v>
      </c>
      <c r="H65" s="94">
        <v>0.66666666666666663</v>
      </c>
      <c r="I65" s="95">
        <f t="shared" si="0"/>
        <v>0.125</v>
      </c>
      <c r="J65" s="105">
        <f t="shared" si="1"/>
        <v>0.125</v>
      </c>
      <c r="K65" s="183">
        <v>5</v>
      </c>
      <c r="L65" s="183">
        <v>504</v>
      </c>
      <c r="M65" s="97" t="s">
        <v>322</v>
      </c>
      <c r="N65" s="98" t="s">
        <v>644</v>
      </c>
      <c r="O65" s="190" t="s">
        <v>71</v>
      </c>
      <c r="P65" s="108">
        <v>6</v>
      </c>
      <c r="Q65" s="108" t="s">
        <v>71</v>
      </c>
      <c r="R65" s="108" t="s">
        <v>71</v>
      </c>
      <c r="S65" s="108"/>
      <c r="T65" s="108" t="s">
        <v>71</v>
      </c>
      <c r="U65" s="108"/>
      <c r="V65" s="110"/>
      <c r="W65" s="99"/>
    </row>
    <row r="66" spans="1:23" s="100" customFormat="1" ht="198.75" customHeight="1">
      <c r="A66" s="133" t="s">
        <v>702</v>
      </c>
      <c r="B66" s="109">
        <v>58</v>
      </c>
      <c r="C66" s="92" t="s">
        <v>321</v>
      </c>
      <c r="D66" s="187">
        <v>2</v>
      </c>
      <c r="E66" s="93">
        <v>46205</v>
      </c>
      <c r="F66" s="94">
        <v>0.375</v>
      </c>
      <c r="G66" s="93">
        <f t="shared" si="3"/>
        <v>46205</v>
      </c>
      <c r="H66" s="94">
        <v>0.67361111111111116</v>
      </c>
      <c r="I66" s="95">
        <f t="shared" si="0"/>
        <v>0.29861111111111116</v>
      </c>
      <c r="J66" s="105">
        <f t="shared" si="1"/>
        <v>0.59722222222222232</v>
      </c>
      <c r="K66" s="96" t="s">
        <v>645</v>
      </c>
      <c r="L66" s="96" t="s">
        <v>646</v>
      </c>
      <c r="M66" s="97" t="s">
        <v>322</v>
      </c>
      <c r="N66" s="98" t="s">
        <v>647</v>
      </c>
      <c r="O66" s="190">
        <v>2</v>
      </c>
      <c r="P66" s="108" t="s">
        <v>71</v>
      </c>
      <c r="Q66" s="108">
        <v>5</v>
      </c>
      <c r="R66" s="108" t="s">
        <v>71</v>
      </c>
      <c r="S66" s="108"/>
      <c r="T66" s="108"/>
      <c r="U66" s="108"/>
      <c r="V66" s="108"/>
      <c r="W66" s="99" t="s">
        <v>648</v>
      </c>
    </row>
    <row r="67" spans="1:23" s="100" customFormat="1" ht="96">
      <c r="A67" s="133" t="s">
        <v>702</v>
      </c>
      <c r="B67" s="109">
        <v>59</v>
      </c>
      <c r="C67" s="92" t="s">
        <v>321</v>
      </c>
      <c r="D67" s="187">
        <v>2</v>
      </c>
      <c r="E67" s="93">
        <v>46209</v>
      </c>
      <c r="F67" s="94">
        <v>0.375</v>
      </c>
      <c r="G67" s="93">
        <f t="shared" si="3"/>
        <v>46209</v>
      </c>
      <c r="H67" s="94">
        <v>0.67361111111111116</v>
      </c>
      <c r="I67" s="95">
        <f t="shared" si="0"/>
        <v>0.29861111111111116</v>
      </c>
      <c r="J67" s="105">
        <f t="shared" si="1"/>
        <v>0.59722222222222232</v>
      </c>
      <c r="K67" s="96" t="s">
        <v>649</v>
      </c>
      <c r="L67" s="96" t="s">
        <v>650</v>
      </c>
      <c r="M67" s="97" t="s">
        <v>322</v>
      </c>
      <c r="N67" s="98" t="s">
        <v>651</v>
      </c>
      <c r="O67" s="190">
        <v>2</v>
      </c>
      <c r="P67" s="108" t="s">
        <v>71</v>
      </c>
      <c r="Q67" s="108" t="s">
        <v>71</v>
      </c>
      <c r="R67" s="108"/>
      <c r="S67" s="108" t="s">
        <v>71</v>
      </c>
      <c r="T67" s="108" t="s">
        <v>71</v>
      </c>
      <c r="U67" s="108"/>
      <c r="V67" s="108"/>
      <c r="W67" s="99" t="s">
        <v>652</v>
      </c>
    </row>
    <row r="68" spans="1:23" s="100" customFormat="1" ht="72" customHeight="1">
      <c r="A68" s="133" t="s">
        <v>702</v>
      </c>
      <c r="B68" s="182">
        <v>60</v>
      </c>
      <c r="C68" s="92" t="s">
        <v>321</v>
      </c>
      <c r="D68" s="187">
        <v>2</v>
      </c>
      <c r="E68" s="93">
        <v>46210</v>
      </c>
      <c r="F68" s="94">
        <v>0.375</v>
      </c>
      <c r="G68" s="93">
        <f t="shared" si="3"/>
        <v>46210</v>
      </c>
      <c r="H68" s="94">
        <v>0.6875</v>
      </c>
      <c r="I68" s="95">
        <f t="shared" ref="I68:I86" si="4">H68-F68</f>
        <v>0.3125</v>
      </c>
      <c r="J68" s="105">
        <f t="shared" ref="J68:J86" si="5">I68*D68</f>
        <v>0.625</v>
      </c>
      <c r="K68" s="183">
        <v>2</v>
      </c>
      <c r="L68" s="183" t="s">
        <v>653</v>
      </c>
      <c r="M68" s="97" t="s">
        <v>322</v>
      </c>
      <c r="N68" s="98" t="s">
        <v>654</v>
      </c>
      <c r="O68" s="190">
        <v>2</v>
      </c>
      <c r="P68" s="108" t="s">
        <v>71</v>
      </c>
      <c r="Q68" s="108" t="s">
        <v>71</v>
      </c>
      <c r="R68" s="108" t="s">
        <v>71</v>
      </c>
      <c r="S68" s="108"/>
      <c r="T68" s="108" t="s">
        <v>71</v>
      </c>
      <c r="U68" s="108"/>
      <c r="V68" s="110"/>
      <c r="W68" s="99" t="s">
        <v>71</v>
      </c>
    </row>
    <row r="69" spans="1:23" s="100" customFormat="1" ht="72" customHeight="1">
      <c r="A69" s="133" t="s">
        <v>702</v>
      </c>
      <c r="B69" s="182">
        <v>61</v>
      </c>
      <c r="C69" s="92" t="s">
        <v>321</v>
      </c>
      <c r="D69" s="187">
        <v>2</v>
      </c>
      <c r="E69" s="93">
        <v>46211</v>
      </c>
      <c r="F69" s="94">
        <v>0.375</v>
      </c>
      <c r="G69" s="93">
        <f t="shared" si="3"/>
        <v>46211</v>
      </c>
      <c r="H69" s="94">
        <v>0.67361111111111116</v>
      </c>
      <c r="I69" s="95">
        <f t="shared" si="4"/>
        <v>0.29861111111111116</v>
      </c>
      <c r="J69" s="105">
        <f t="shared" si="5"/>
        <v>0.59722222222222232</v>
      </c>
      <c r="K69" s="183">
        <v>2</v>
      </c>
      <c r="L69" s="183" t="s">
        <v>653</v>
      </c>
      <c r="M69" s="97" t="s">
        <v>322</v>
      </c>
      <c r="N69" s="98" t="s">
        <v>654</v>
      </c>
      <c r="O69" s="190">
        <v>2</v>
      </c>
      <c r="P69" s="108" t="s">
        <v>71</v>
      </c>
      <c r="Q69" s="108" t="s">
        <v>71</v>
      </c>
      <c r="R69" s="108" t="s">
        <v>71</v>
      </c>
      <c r="S69" s="108"/>
      <c r="T69" s="108" t="s">
        <v>71</v>
      </c>
      <c r="U69" s="108"/>
      <c r="V69" s="110"/>
      <c r="W69" s="99" t="s">
        <v>71</v>
      </c>
    </row>
    <row r="70" spans="1:23" s="100" customFormat="1" ht="72" customHeight="1">
      <c r="A70" s="133" t="s">
        <v>702</v>
      </c>
      <c r="B70" s="182">
        <v>62</v>
      </c>
      <c r="C70" s="92" t="s">
        <v>321</v>
      </c>
      <c r="D70" s="187">
        <v>2</v>
      </c>
      <c r="E70" s="93">
        <v>46213</v>
      </c>
      <c r="F70" s="94">
        <v>0.375</v>
      </c>
      <c r="G70" s="93">
        <f t="shared" si="3"/>
        <v>46213</v>
      </c>
      <c r="H70" s="94">
        <v>0.66666666666666663</v>
      </c>
      <c r="I70" s="95">
        <f t="shared" si="4"/>
        <v>0.29166666666666663</v>
      </c>
      <c r="J70" s="105">
        <f t="shared" si="5"/>
        <v>0.58333333333333326</v>
      </c>
      <c r="K70" s="183">
        <v>2</v>
      </c>
      <c r="L70" s="183" t="s">
        <v>653</v>
      </c>
      <c r="M70" s="97" t="s">
        <v>322</v>
      </c>
      <c r="N70" s="98" t="s">
        <v>654</v>
      </c>
      <c r="O70" s="190">
        <v>2</v>
      </c>
      <c r="P70" s="108" t="s">
        <v>71</v>
      </c>
      <c r="Q70" s="108" t="s">
        <v>71</v>
      </c>
      <c r="R70" s="108" t="s">
        <v>71</v>
      </c>
      <c r="S70" s="108"/>
      <c r="T70" s="108" t="s">
        <v>71</v>
      </c>
      <c r="U70" s="108"/>
      <c r="V70" s="110"/>
      <c r="W70" s="99" t="s">
        <v>71</v>
      </c>
    </row>
    <row r="71" spans="1:23" s="100" customFormat="1" ht="120" customHeight="1">
      <c r="A71" s="133" t="s">
        <v>702</v>
      </c>
      <c r="B71" s="109">
        <v>63</v>
      </c>
      <c r="C71" s="92" t="s">
        <v>321</v>
      </c>
      <c r="D71" s="187">
        <v>2</v>
      </c>
      <c r="E71" s="93">
        <v>46216</v>
      </c>
      <c r="F71" s="94">
        <v>0.375</v>
      </c>
      <c r="G71" s="93">
        <f t="shared" si="3"/>
        <v>46216</v>
      </c>
      <c r="H71" s="94">
        <v>0.67361111111111116</v>
      </c>
      <c r="I71" s="95">
        <f t="shared" si="4"/>
        <v>0.29861111111111116</v>
      </c>
      <c r="J71" s="105">
        <f t="shared" si="5"/>
        <v>0.59722222222222232</v>
      </c>
      <c r="K71" s="96" t="s">
        <v>655</v>
      </c>
      <c r="L71" s="96" t="s">
        <v>656</v>
      </c>
      <c r="M71" s="97" t="s">
        <v>322</v>
      </c>
      <c r="N71" s="98" t="s">
        <v>657</v>
      </c>
      <c r="O71" s="190">
        <v>2</v>
      </c>
      <c r="P71" s="108" t="s">
        <v>71</v>
      </c>
      <c r="Q71" s="108">
        <v>4</v>
      </c>
      <c r="R71" s="108" t="s">
        <v>71</v>
      </c>
      <c r="S71" s="108"/>
      <c r="T71" s="108"/>
      <c r="U71" s="108"/>
      <c r="V71" s="108"/>
      <c r="W71" s="99"/>
    </row>
    <row r="72" spans="1:23" s="100" customFormat="1" ht="144" customHeight="1">
      <c r="A72" s="133" t="s">
        <v>702</v>
      </c>
      <c r="B72" s="182">
        <v>64</v>
      </c>
      <c r="C72" s="92" t="s">
        <v>321</v>
      </c>
      <c r="D72" s="187">
        <v>2</v>
      </c>
      <c r="E72" s="93">
        <v>46217</v>
      </c>
      <c r="F72" s="94">
        <v>0.375</v>
      </c>
      <c r="G72" s="93">
        <f>E72</f>
        <v>46217</v>
      </c>
      <c r="H72" s="94">
        <v>0.67361111111111116</v>
      </c>
      <c r="I72" s="95">
        <f t="shared" si="4"/>
        <v>0.29861111111111116</v>
      </c>
      <c r="J72" s="105">
        <f t="shared" si="5"/>
        <v>0.59722222222222232</v>
      </c>
      <c r="K72" s="96" t="s">
        <v>658</v>
      </c>
      <c r="L72" s="96" t="s">
        <v>659</v>
      </c>
      <c r="M72" s="97" t="s">
        <v>322</v>
      </c>
      <c r="N72" s="98" t="s">
        <v>660</v>
      </c>
      <c r="O72" s="190">
        <v>2</v>
      </c>
      <c r="P72" s="108">
        <v>3</v>
      </c>
      <c r="Q72" s="108">
        <v>3</v>
      </c>
      <c r="R72" s="108">
        <v>3</v>
      </c>
      <c r="S72" s="108"/>
      <c r="T72" s="108">
        <v>4</v>
      </c>
      <c r="U72" s="108">
        <v>4</v>
      </c>
      <c r="V72" s="110"/>
      <c r="W72" s="99" t="s">
        <v>661</v>
      </c>
    </row>
    <row r="73" spans="1:23" s="100" customFormat="1" ht="168">
      <c r="A73" s="133" t="s">
        <v>702</v>
      </c>
      <c r="B73" s="109">
        <v>65</v>
      </c>
      <c r="C73" s="92" t="s">
        <v>321</v>
      </c>
      <c r="D73" s="187">
        <v>2</v>
      </c>
      <c r="E73" s="93">
        <v>46218</v>
      </c>
      <c r="F73" s="94">
        <v>0.375</v>
      </c>
      <c r="G73" s="93">
        <f t="shared" ref="G73:G74" si="6">E73</f>
        <v>46218</v>
      </c>
      <c r="H73" s="94">
        <v>0.68055555555555558</v>
      </c>
      <c r="I73" s="95">
        <f t="shared" si="4"/>
        <v>0.30555555555555558</v>
      </c>
      <c r="J73" s="105">
        <f t="shared" si="5"/>
        <v>0.61111111111111116</v>
      </c>
      <c r="K73" s="96" t="s">
        <v>662</v>
      </c>
      <c r="L73" s="96" t="s">
        <v>663</v>
      </c>
      <c r="M73" s="97" t="s">
        <v>322</v>
      </c>
      <c r="N73" s="98" t="s">
        <v>664</v>
      </c>
      <c r="O73" s="190">
        <v>2</v>
      </c>
      <c r="P73" s="108">
        <v>3</v>
      </c>
      <c r="Q73" s="108">
        <v>3</v>
      </c>
      <c r="R73" s="108">
        <v>15</v>
      </c>
      <c r="S73" s="108"/>
      <c r="T73" s="108"/>
      <c r="U73" s="108"/>
      <c r="V73" s="108"/>
      <c r="W73" s="99"/>
    </row>
    <row r="74" spans="1:23" s="100" customFormat="1" ht="72" customHeight="1">
      <c r="A74" s="133" t="s">
        <v>702</v>
      </c>
      <c r="B74" s="182"/>
      <c r="C74" s="92" t="s">
        <v>321</v>
      </c>
      <c r="D74" s="187">
        <v>1</v>
      </c>
      <c r="E74" s="93">
        <v>46218</v>
      </c>
      <c r="F74" s="94">
        <v>0.375</v>
      </c>
      <c r="G74" s="93">
        <f t="shared" si="6"/>
        <v>46218</v>
      </c>
      <c r="H74" s="94">
        <v>0.45833333333333331</v>
      </c>
      <c r="I74" s="95">
        <f t="shared" si="4"/>
        <v>8.3333333333333315E-2</v>
      </c>
      <c r="J74" s="105">
        <f t="shared" si="5"/>
        <v>8.3333333333333315E-2</v>
      </c>
      <c r="K74" s="183">
        <v>7</v>
      </c>
      <c r="L74" s="183">
        <v>305</v>
      </c>
      <c r="M74" s="97" t="s">
        <v>322</v>
      </c>
      <c r="N74" s="98" t="s">
        <v>665</v>
      </c>
      <c r="O74" s="190" t="s">
        <v>71</v>
      </c>
      <c r="P74" s="108" t="s">
        <v>71</v>
      </c>
      <c r="Q74" s="108" t="s">
        <v>71</v>
      </c>
      <c r="R74" s="108" t="s">
        <v>71</v>
      </c>
      <c r="S74" s="108"/>
      <c r="T74" s="108" t="s">
        <v>71</v>
      </c>
      <c r="U74" s="108"/>
      <c r="V74" s="110"/>
      <c r="W74" s="99" t="s">
        <v>666</v>
      </c>
    </row>
    <row r="75" spans="1:23" s="100" customFormat="1" ht="120">
      <c r="A75" s="133" t="s">
        <v>702</v>
      </c>
      <c r="B75" s="109">
        <v>66</v>
      </c>
      <c r="C75" s="92" t="s">
        <v>321</v>
      </c>
      <c r="D75" s="187">
        <v>2</v>
      </c>
      <c r="E75" s="93">
        <v>46219</v>
      </c>
      <c r="F75" s="94">
        <v>0.375</v>
      </c>
      <c r="G75" s="93">
        <f>E75</f>
        <v>46219</v>
      </c>
      <c r="H75" s="94">
        <v>0.67361111111111116</v>
      </c>
      <c r="I75" s="95">
        <f t="shared" si="4"/>
        <v>0.29861111111111116</v>
      </c>
      <c r="J75" s="105">
        <f t="shared" si="5"/>
        <v>0.59722222222222232</v>
      </c>
      <c r="K75" s="96" t="s">
        <v>667</v>
      </c>
      <c r="L75" s="96" t="s">
        <v>668</v>
      </c>
      <c r="M75" s="97" t="s">
        <v>322</v>
      </c>
      <c r="N75" s="98" t="s">
        <v>669</v>
      </c>
      <c r="O75" s="190">
        <v>2</v>
      </c>
      <c r="P75" s="108">
        <v>2</v>
      </c>
      <c r="Q75" s="108">
        <v>2</v>
      </c>
      <c r="R75" s="108">
        <v>12</v>
      </c>
      <c r="S75" s="108"/>
      <c r="T75" s="108" t="s">
        <v>71</v>
      </c>
      <c r="U75" s="108" t="s">
        <v>71</v>
      </c>
      <c r="V75" s="108"/>
      <c r="W75" s="99"/>
    </row>
    <row r="76" spans="1:23" s="100" customFormat="1" ht="72" customHeight="1">
      <c r="A76" s="133" t="s">
        <v>702</v>
      </c>
      <c r="B76" s="182">
        <v>67</v>
      </c>
      <c r="C76" s="92" t="s">
        <v>321</v>
      </c>
      <c r="D76" s="187">
        <v>1</v>
      </c>
      <c r="E76" s="93">
        <v>46223</v>
      </c>
      <c r="F76" s="94">
        <v>0.54166666666666663</v>
      </c>
      <c r="G76" s="93">
        <f t="shared" ref="G76:G78" si="7">E76</f>
        <v>46223</v>
      </c>
      <c r="H76" s="94">
        <v>0.66666666666666663</v>
      </c>
      <c r="I76" s="95">
        <f t="shared" si="4"/>
        <v>0.125</v>
      </c>
      <c r="J76" s="105">
        <f t="shared" si="5"/>
        <v>0.125</v>
      </c>
      <c r="K76" s="183">
        <v>5</v>
      </c>
      <c r="L76" s="183">
        <v>303</v>
      </c>
      <c r="M76" s="97" t="s">
        <v>322</v>
      </c>
      <c r="N76" s="98" t="s">
        <v>670</v>
      </c>
      <c r="O76" s="190">
        <v>0.5</v>
      </c>
      <c r="P76" s="108" t="s">
        <v>71</v>
      </c>
      <c r="Q76" s="108" t="s">
        <v>71</v>
      </c>
      <c r="R76" s="108" t="s">
        <v>71</v>
      </c>
      <c r="S76" s="108"/>
      <c r="T76" s="108" t="s">
        <v>71</v>
      </c>
      <c r="U76" s="108"/>
      <c r="V76" s="110"/>
      <c r="W76" s="99" t="s">
        <v>71</v>
      </c>
    </row>
    <row r="77" spans="1:23" s="100" customFormat="1" ht="72" customHeight="1">
      <c r="A77" s="133" t="s">
        <v>702</v>
      </c>
      <c r="B77" s="182">
        <v>68</v>
      </c>
      <c r="C77" s="92" t="s">
        <v>321</v>
      </c>
      <c r="D77" s="187">
        <v>1</v>
      </c>
      <c r="E77" s="93">
        <v>46225</v>
      </c>
      <c r="F77" s="94">
        <v>0.375</v>
      </c>
      <c r="G77" s="93">
        <f t="shared" si="7"/>
        <v>46225</v>
      </c>
      <c r="H77" s="94">
        <v>0.66666666666666663</v>
      </c>
      <c r="I77" s="95">
        <f t="shared" si="4"/>
        <v>0.29166666666666663</v>
      </c>
      <c r="J77" s="105">
        <f t="shared" si="5"/>
        <v>0.29166666666666663</v>
      </c>
      <c r="K77" s="96" t="s">
        <v>536</v>
      </c>
      <c r="L77" s="96" t="s">
        <v>671</v>
      </c>
      <c r="M77" s="97" t="s">
        <v>322</v>
      </c>
      <c r="N77" s="98" t="s">
        <v>672</v>
      </c>
      <c r="O77" s="190">
        <v>1</v>
      </c>
      <c r="P77" s="108" t="s">
        <v>71</v>
      </c>
      <c r="Q77" s="108" t="s">
        <v>71</v>
      </c>
      <c r="R77" s="108" t="s">
        <v>71</v>
      </c>
      <c r="S77" s="108"/>
      <c r="T77" s="108" t="s">
        <v>71</v>
      </c>
      <c r="U77" s="108"/>
      <c r="V77" s="110"/>
      <c r="W77" s="99" t="s">
        <v>71</v>
      </c>
    </row>
    <row r="78" spans="1:23" s="100" customFormat="1" ht="72" customHeight="1">
      <c r="A78" s="133" t="s">
        <v>702</v>
      </c>
      <c r="B78" s="182">
        <v>69</v>
      </c>
      <c r="C78" s="92" t="s">
        <v>321</v>
      </c>
      <c r="D78" s="187">
        <v>1</v>
      </c>
      <c r="E78" s="93">
        <v>46233</v>
      </c>
      <c r="F78" s="94">
        <v>0.58333333333333337</v>
      </c>
      <c r="G78" s="93">
        <f t="shared" si="7"/>
        <v>46233</v>
      </c>
      <c r="H78" s="94">
        <v>0.66666666666666663</v>
      </c>
      <c r="I78" s="95">
        <f t="shared" si="4"/>
        <v>8.3333333333333259E-2</v>
      </c>
      <c r="J78" s="105">
        <f t="shared" si="5"/>
        <v>8.3333333333333259E-2</v>
      </c>
      <c r="K78" s="183">
        <v>2</v>
      </c>
      <c r="L78" s="183">
        <v>408</v>
      </c>
      <c r="M78" s="97" t="s">
        <v>322</v>
      </c>
      <c r="N78" s="98" t="s">
        <v>673</v>
      </c>
      <c r="O78" s="190">
        <v>0.5</v>
      </c>
      <c r="P78" s="108" t="s">
        <v>71</v>
      </c>
      <c r="Q78" s="108" t="s">
        <v>71</v>
      </c>
      <c r="R78" s="108" t="s">
        <v>71</v>
      </c>
      <c r="S78" s="108"/>
      <c r="T78" s="108" t="s">
        <v>71</v>
      </c>
      <c r="U78" s="108"/>
      <c r="V78" s="110"/>
      <c r="W78" s="99" t="s">
        <v>71</v>
      </c>
    </row>
    <row r="79" spans="1:23" s="100" customFormat="1" ht="120">
      <c r="A79" s="133" t="s">
        <v>702</v>
      </c>
      <c r="B79" s="109">
        <v>70</v>
      </c>
      <c r="C79" s="92" t="s">
        <v>321</v>
      </c>
      <c r="D79" s="187">
        <v>2</v>
      </c>
      <c r="E79" s="93">
        <v>46244</v>
      </c>
      <c r="F79" s="94">
        <v>0.375</v>
      </c>
      <c r="G79" s="93">
        <f>E79</f>
        <v>46244</v>
      </c>
      <c r="H79" s="94">
        <v>0.67361111111111116</v>
      </c>
      <c r="I79" s="95">
        <f t="shared" si="4"/>
        <v>0.29861111111111116</v>
      </c>
      <c r="J79" s="105">
        <f t="shared" si="5"/>
        <v>0.59722222222222232</v>
      </c>
      <c r="K79" s="96" t="s">
        <v>674</v>
      </c>
      <c r="L79" s="96" t="s">
        <v>675</v>
      </c>
      <c r="M79" s="97" t="s">
        <v>322</v>
      </c>
      <c r="N79" s="98" t="s">
        <v>676</v>
      </c>
      <c r="O79" s="190">
        <v>2</v>
      </c>
      <c r="P79" s="108">
        <v>3</v>
      </c>
      <c r="Q79" s="108">
        <v>4</v>
      </c>
      <c r="R79" s="108">
        <v>15</v>
      </c>
      <c r="S79" s="108"/>
      <c r="T79" s="108" t="s">
        <v>71</v>
      </c>
      <c r="U79" s="108" t="s">
        <v>71</v>
      </c>
      <c r="V79" s="108"/>
      <c r="W79" s="99"/>
    </row>
    <row r="80" spans="1:23" s="100" customFormat="1" ht="192">
      <c r="A80" s="133" t="s">
        <v>702</v>
      </c>
      <c r="B80" s="109">
        <v>71</v>
      </c>
      <c r="C80" s="92" t="s">
        <v>321</v>
      </c>
      <c r="D80" s="187">
        <v>2</v>
      </c>
      <c r="E80" s="93">
        <v>46245</v>
      </c>
      <c r="F80" s="94">
        <v>0.375</v>
      </c>
      <c r="G80" s="93">
        <f t="shared" ref="G80:G83" si="8">E80</f>
        <v>46245</v>
      </c>
      <c r="H80" s="94">
        <v>0.67361111111111116</v>
      </c>
      <c r="I80" s="95">
        <f t="shared" si="4"/>
        <v>0.29861111111111116</v>
      </c>
      <c r="J80" s="105">
        <f t="shared" si="5"/>
        <v>0.59722222222222232</v>
      </c>
      <c r="K80" s="96" t="s">
        <v>677</v>
      </c>
      <c r="L80" s="96" t="s">
        <v>678</v>
      </c>
      <c r="M80" s="97" t="s">
        <v>322</v>
      </c>
      <c r="N80" s="98" t="s">
        <v>679</v>
      </c>
      <c r="O80" s="190">
        <v>2</v>
      </c>
      <c r="P80" s="108">
        <v>2</v>
      </c>
      <c r="Q80" s="108">
        <v>3</v>
      </c>
      <c r="R80" s="108">
        <v>21</v>
      </c>
      <c r="S80" s="108"/>
      <c r="T80" s="108"/>
      <c r="U80" s="108"/>
      <c r="V80" s="108"/>
      <c r="W80" s="99"/>
    </row>
    <row r="81" spans="1:23" s="100" customFormat="1" ht="168">
      <c r="A81" s="133" t="s">
        <v>702</v>
      </c>
      <c r="B81" s="109">
        <v>72</v>
      </c>
      <c r="C81" s="92" t="s">
        <v>321</v>
      </c>
      <c r="D81" s="187">
        <v>2</v>
      </c>
      <c r="E81" s="93">
        <v>46246</v>
      </c>
      <c r="F81" s="94">
        <v>0.375</v>
      </c>
      <c r="G81" s="93">
        <f t="shared" si="8"/>
        <v>46246</v>
      </c>
      <c r="H81" s="94">
        <v>0.67361111111111116</v>
      </c>
      <c r="I81" s="95">
        <f t="shared" si="4"/>
        <v>0.29861111111111116</v>
      </c>
      <c r="J81" s="105">
        <f t="shared" si="5"/>
        <v>0.59722222222222232</v>
      </c>
      <c r="K81" s="96" t="s">
        <v>680</v>
      </c>
      <c r="L81" s="96" t="s">
        <v>681</v>
      </c>
      <c r="M81" s="97" t="s">
        <v>322</v>
      </c>
      <c r="N81" s="98" t="s">
        <v>682</v>
      </c>
      <c r="O81" s="190">
        <v>2</v>
      </c>
      <c r="P81" s="108">
        <v>3</v>
      </c>
      <c r="Q81" s="108">
        <v>4</v>
      </c>
      <c r="R81" s="108">
        <v>6</v>
      </c>
      <c r="S81" s="108"/>
      <c r="T81" s="108"/>
      <c r="U81" s="108"/>
      <c r="V81" s="108"/>
      <c r="W81" s="99" t="s">
        <v>683</v>
      </c>
    </row>
    <row r="82" spans="1:23" s="100" customFormat="1" ht="72" customHeight="1">
      <c r="A82" s="133" t="s">
        <v>702</v>
      </c>
      <c r="B82" s="182">
        <v>73</v>
      </c>
      <c r="C82" s="92" t="s">
        <v>321</v>
      </c>
      <c r="D82" s="187">
        <v>2</v>
      </c>
      <c r="E82" s="93">
        <v>46258</v>
      </c>
      <c r="F82" s="94">
        <v>0.375</v>
      </c>
      <c r="G82" s="93">
        <f t="shared" si="8"/>
        <v>46258</v>
      </c>
      <c r="H82" s="94">
        <v>0.67361111111111116</v>
      </c>
      <c r="I82" s="95">
        <f t="shared" si="4"/>
        <v>0.29861111111111116</v>
      </c>
      <c r="J82" s="105">
        <f t="shared" si="5"/>
        <v>0.59722222222222232</v>
      </c>
      <c r="K82" s="96" t="s">
        <v>684</v>
      </c>
      <c r="L82" s="96" t="s">
        <v>685</v>
      </c>
      <c r="M82" s="97" t="s">
        <v>322</v>
      </c>
      <c r="N82" s="98" t="s">
        <v>686</v>
      </c>
      <c r="O82" s="190">
        <v>2</v>
      </c>
      <c r="P82" s="108">
        <v>2</v>
      </c>
      <c r="Q82" s="108">
        <v>4</v>
      </c>
      <c r="R82" s="108">
        <v>60</v>
      </c>
      <c r="S82" s="108"/>
      <c r="T82" s="108"/>
      <c r="U82" s="108"/>
      <c r="V82" s="110"/>
      <c r="W82" s="99" t="s">
        <v>71</v>
      </c>
    </row>
    <row r="83" spans="1:23" s="100" customFormat="1" ht="120">
      <c r="A83" s="133" t="s">
        <v>702</v>
      </c>
      <c r="B83" s="109">
        <v>74</v>
      </c>
      <c r="C83" s="92" t="s">
        <v>321</v>
      </c>
      <c r="D83" s="187">
        <v>2</v>
      </c>
      <c r="E83" s="93">
        <v>46259</v>
      </c>
      <c r="F83" s="94">
        <v>0.375</v>
      </c>
      <c r="G83" s="93">
        <f t="shared" si="8"/>
        <v>46259</v>
      </c>
      <c r="H83" s="94">
        <v>0.67361111111111116</v>
      </c>
      <c r="I83" s="95">
        <f t="shared" si="4"/>
        <v>0.29861111111111116</v>
      </c>
      <c r="J83" s="105">
        <f t="shared" si="5"/>
        <v>0.59722222222222232</v>
      </c>
      <c r="K83" s="96" t="s">
        <v>687</v>
      </c>
      <c r="L83" s="96" t="s">
        <v>688</v>
      </c>
      <c r="M83" s="97" t="s">
        <v>322</v>
      </c>
      <c r="N83" s="98" t="s">
        <v>689</v>
      </c>
      <c r="O83" s="190">
        <v>2</v>
      </c>
      <c r="P83" s="108" t="s">
        <v>71</v>
      </c>
      <c r="Q83" s="108">
        <v>5</v>
      </c>
      <c r="R83" s="108"/>
      <c r="S83" s="108" t="s">
        <v>71</v>
      </c>
      <c r="T83" s="108">
        <v>2</v>
      </c>
      <c r="U83" s="108">
        <v>2</v>
      </c>
      <c r="V83" s="108"/>
      <c r="W83" s="99" t="s">
        <v>71</v>
      </c>
    </row>
    <row r="84" spans="1:23" s="100" customFormat="1" ht="144" customHeight="1">
      <c r="A84" s="133" t="s">
        <v>702</v>
      </c>
      <c r="B84" s="182">
        <v>75</v>
      </c>
      <c r="C84" s="92" t="s">
        <v>321</v>
      </c>
      <c r="D84" s="187">
        <v>2</v>
      </c>
      <c r="E84" s="93">
        <v>46260</v>
      </c>
      <c r="F84" s="94">
        <v>0.375</v>
      </c>
      <c r="G84" s="93">
        <f>E84</f>
        <v>46260</v>
      </c>
      <c r="H84" s="94">
        <v>0.67361111111111116</v>
      </c>
      <c r="I84" s="95">
        <f t="shared" si="4"/>
        <v>0.29861111111111116</v>
      </c>
      <c r="J84" s="105">
        <f t="shared" si="5"/>
        <v>0.59722222222222232</v>
      </c>
      <c r="K84" s="96" t="s">
        <v>690</v>
      </c>
      <c r="L84" s="96" t="s">
        <v>691</v>
      </c>
      <c r="M84" s="97" t="s">
        <v>322</v>
      </c>
      <c r="N84" s="98" t="s">
        <v>692</v>
      </c>
      <c r="O84" s="190">
        <v>2</v>
      </c>
      <c r="P84" s="108">
        <v>2</v>
      </c>
      <c r="Q84" s="108">
        <v>7</v>
      </c>
      <c r="R84" s="108">
        <v>3</v>
      </c>
      <c r="S84" s="108"/>
      <c r="T84" s="108"/>
      <c r="U84" s="108"/>
      <c r="V84" s="108"/>
      <c r="W84" s="111" t="s">
        <v>71</v>
      </c>
    </row>
    <row r="85" spans="1:23" s="100" customFormat="1" ht="144" customHeight="1">
      <c r="A85" s="133" t="s">
        <v>702</v>
      </c>
      <c r="B85" s="182">
        <v>76</v>
      </c>
      <c r="C85" s="92" t="s">
        <v>321</v>
      </c>
      <c r="D85" s="187">
        <v>2</v>
      </c>
      <c r="E85" s="93">
        <v>46261</v>
      </c>
      <c r="F85" s="94">
        <v>0.375</v>
      </c>
      <c r="G85" s="93">
        <f>E85</f>
        <v>46261</v>
      </c>
      <c r="H85" s="94">
        <v>0.66666666666666663</v>
      </c>
      <c r="I85" s="95">
        <f t="shared" si="4"/>
        <v>0.29166666666666663</v>
      </c>
      <c r="J85" s="105">
        <f t="shared" si="5"/>
        <v>0.58333333333333326</v>
      </c>
      <c r="K85" s="96" t="s">
        <v>693</v>
      </c>
      <c r="L85" s="96" t="s">
        <v>694</v>
      </c>
      <c r="M85" s="97" t="s">
        <v>322</v>
      </c>
      <c r="N85" s="98" t="s">
        <v>695</v>
      </c>
      <c r="O85" s="190">
        <v>2</v>
      </c>
      <c r="P85" s="108">
        <v>2</v>
      </c>
      <c r="Q85" s="108">
        <v>2</v>
      </c>
      <c r="R85" s="108" t="s">
        <v>71</v>
      </c>
      <c r="S85" s="108"/>
      <c r="T85" s="108"/>
      <c r="U85" s="108"/>
      <c r="V85" s="108"/>
      <c r="W85" s="111" t="s">
        <v>696</v>
      </c>
    </row>
    <row r="86" spans="1:23" s="100" customFormat="1" ht="72" customHeight="1">
      <c r="A86" s="133" t="s">
        <v>702</v>
      </c>
      <c r="B86" s="220">
        <v>77</v>
      </c>
      <c r="C86" s="166" t="s">
        <v>321</v>
      </c>
      <c r="D86" s="188">
        <v>1</v>
      </c>
      <c r="E86" s="221">
        <v>46265</v>
      </c>
      <c r="F86" s="168">
        <v>0.375</v>
      </c>
      <c r="G86" s="167">
        <f t="shared" ref="G86" si="9">E86</f>
        <v>46265</v>
      </c>
      <c r="H86" s="168">
        <v>0.66666666666666663</v>
      </c>
      <c r="I86" s="169">
        <f t="shared" si="4"/>
        <v>0.29166666666666663</v>
      </c>
      <c r="J86" s="170">
        <f t="shared" si="5"/>
        <v>0.29166666666666663</v>
      </c>
      <c r="K86" s="184">
        <v>2</v>
      </c>
      <c r="L86" s="184">
        <v>403</v>
      </c>
      <c r="M86" s="172" t="s">
        <v>322</v>
      </c>
      <c r="N86" s="173" t="s">
        <v>697</v>
      </c>
      <c r="O86" s="191">
        <v>1</v>
      </c>
      <c r="P86" s="174" t="s">
        <v>71</v>
      </c>
      <c r="Q86" s="174" t="s">
        <v>71</v>
      </c>
      <c r="R86" s="174" t="s">
        <v>71</v>
      </c>
      <c r="S86" s="174"/>
      <c r="T86" s="174" t="s">
        <v>71</v>
      </c>
      <c r="U86" s="174"/>
      <c r="V86" s="174"/>
      <c r="W86" s="185" t="s">
        <v>71</v>
      </c>
    </row>
    <row r="87" spans="1:23" s="119" customFormat="1" ht="37.5" customHeight="1" thickBot="1">
      <c r="A87" s="176"/>
      <c r="B87" s="223" t="s">
        <v>128</v>
      </c>
      <c r="C87" s="224"/>
      <c r="D87" s="208">
        <f>SUM(D4:D86)</f>
        <v>153</v>
      </c>
      <c r="E87" s="113"/>
      <c r="F87" s="114"/>
      <c r="G87" s="113"/>
      <c r="H87" s="114"/>
      <c r="I87" s="209"/>
      <c r="J87" s="209"/>
      <c r="K87" s="112"/>
      <c r="L87" s="115"/>
      <c r="M87" s="112"/>
      <c r="N87" s="116"/>
      <c r="O87" s="207">
        <f t="shared" ref="O87:V87" si="10">SUM(O4:O86)</f>
        <v>129.5</v>
      </c>
      <c r="P87" s="219">
        <f t="shared" si="10"/>
        <v>149</v>
      </c>
      <c r="Q87" s="219">
        <f t="shared" si="10"/>
        <v>128</v>
      </c>
      <c r="R87" s="219">
        <f t="shared" si="10"/>
        <v>343</v>
      </c>
      <c r="S87" s="219">
        <f t="shared" si="10"/>
        <v>11</v>
      </c>
      <c r="T87" s="219">
        <f t="shared" si="10"/>
        <v>20</v>
      </c>
      <c r="U87" s="219">
        <f t="shared" si="10"/>
        <v>8</v>
      </c>
      <c r="V87" s="117">
        <f t="shared" si="10"/>
        <v>0</v>
      </c>
      <c r="W87" s="118"/>
    </row>
  </sheetData>
  <mergeCells count="13">
    <mergeCell ref="P2:V2"/>
    <mergeCell ref="W2:W3"/>
    <mergeCell ref="B2:B3"/>
    <mergeCell ref="C2:C3"/>
    <mergeCell ref="D2:D3"/>
    <mergeCell ref="E2:F2"/>
    <mergeCell ref="G2:H2"/>
    <mergeCell ref="K2:K3"/>
    <mergeCell ref="B87:C87"/>
    <mergeCell ref="L2:L3"/>
    <mergeCell ref="M2:M3"/>
    <mergeCell ref="N2:N3"/>
    <mergeCell ref="O2:O3"/>
  </mergeCells>
  <phoneticPr fontId="2" type="noConversion"/>
  <pageMargins left="0.7" right="0.7" top="0.75" bottom="0.75" header="0.3" footer="0.3"/>
  <pageSetup paperSize="9" scale="10"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D667-0281-4FA5-A020-D6FFBDA5D1A9}">
  <sheetPr>
    <pageSetUpPr fitToPage="1"/>
  </sheetPr>
  <dimension ref="A1:X91"/>
  <sheetViews>
    <sheetView showZeros="0" view="pageBreakPreview" zoomScale="60" zoomScaleNormal="71" workbookViewId="0">
      <pane ySplit="4" topLeftCell="A79" activePane="bottomLeft" state="frozen"/>
      <selection pane="bottomLeft" activeCell="N86" sqref="N86"/>
    </sheetView>
  </sheetViews>
  <sheetFormatPr defaultRowHeight="16.5"/>
  <cols>
    <col min="1" max="1" width="5.875" style="177" bestFit="1" customWidth="1"/>
    <col min="2" max="2" width="7.75" style="102" bestFit="1" customWidth="1"/>
    <col min="3" max="3" width="11.375" style="102" bestFit="1" customWidth="1"/>
    <col min="4" max="4" width="15.25" style="102" customWidth="1"/>
    <col min="5" max="5" width="12.75" style="102" customWidth="1"/>
    <col min="6" max="6" width="11.125" style="102" bestFit="1" customWidth="1"/>
    <col min="7" max="7" width="12.75" style="102" customWidth="1"/>
    <col min="8" max="8" width="11.125" style="102" bestFit="1" customWidth="1"/>
    <col min="9" max="9" width="28" style="102" bestFit="1" customWidth="1"/>
    <col min="10" max="10" width="30.25" style="102" bestFit="1" customWidth="1"/>
    <col min="11" max="11" width="9.75" style="102" bestFit="1" customWidth="1"/>
    <col min="12" max="12" width="9.75" style="102" customWidth="1"/>
    <col min="13" max="13" width="11.75" style="102" bestFit="1" customWidth="1"/>
    <col min="14" max="14" width="69.875" style="102" bestFit="1" customWidth="1"/>
    <col min="15" max="15" width="16.5" style="102" customWidth="1"/>
    <col min="16" max="17" width="13.25" style="102" bestFit="1" customWidth="1"/>
    <col min="18" max="18" width="12.875" style="102" bestFit="1" customWidth="1"/>
    <col min="19" max="19" width="16.125" style="102" bestFit="1" customWidth="1"/>
    <col min="20" max="21" width="16" style="102" customWidth="1"/>
    <col min="22" max="22" width="16.125" style="102" bestFit="1" customWidth="1"/>
    <col min="23" max="23" width="25.875" style="101" customWidth="1"/>
    <col min="24" max="24" width="1.625" style="101" customWidth="1"/>
    <col min="25" max="16384" width="9" style="101"/>
  </cols>
  <sheetData>
    <row r="1" spans="1:23" s="77" customFormat="1" ht="9.9499999999999993" customHeight="1">
      <c r="A1" s="85"/>
    </row>
    <row r="2" spans="1:23" s="77" customFormat="1" ht="39.950000000000003" customHeight="1" thickBot="1">
      <c r="A2" s="85"/>
      <c r="B2" s="78" t="s">
        <v>0</v>
      </c>
      <c r="C2" s="79" t="s">
        <v>1</v>
      </c>
      <c r="D2" s="80" t="s">
        <v>2</v>
      </c>
      <c r="E2" s="81" t="s">
        <v>3</v>
      </c>
      <c r="F2" s="81" t="s">
        <v>4</v>
      </c>
      <c r="G2" s="81" t="s">
        <v>5</v>
      </c>
      <c r="H2" s="81" t="s">
        <v>6</v>
      </c>
      <c r="I2" s="81"/>
      <c r="J2" s="81"/>
      <c r="K2" s="79" t="s">
        <v>7</v>
      </c>
      <c r="L2" s="79">
        <v>201</v>
      </c>
      <c r="M2" s="80" t="s">
        <v>8</v>
      </c>
      <c r="N2" s="82" t="s">
        <v>9</v>
      </c>
      <c r="O2" s="83"/>
      <c r="P2" s="83"/>
      <c r="Q2" s="84"/>
      <c r="R2" s="84"/>
      <c r="S2" s="84"/>
      <c r="T2" s="84"/>
      <c r="U2" s="84"/>
      <c r="V2" s="84"/>
      <c r="W2" s="85"/>
    </row>
    <row r="3" spans="1:23" s="77" customFormat="1" ht="23.25" customHeight="1">
      <c r="A3" s="239"/>
      <c r="B3" s="234" t="s">
        <v>10</v>
      </c>
      <c r="C3" s="225" t="s">
        <v>11</v>
      </c>
      <c r="D3" s="236" t="s">
        <v>703</v>
      </c>
      <c r="E3" s="238" t="s">
        <v>12</v>
      </c>
      <c r="F3" s="238"/>
      <c r="G3" s="238" t="s">
        <v>13</v>
      </c>
      <c r="H3" s="238"/>
      <c r="I3" s="86" t="s">
        <v>279</v>
      </c>
      <c r="J3" s="86" t="s">
        <v>280</v>
      </c>
      <c r="K3" s="225" t="s">
        <v>16</v>
      </c>
      <c r="L3" s="225" t="s">
        <v>17</v>
      </c>
      <c r="M3" s="225" t="s">
        <v>18</v>
      </c>
      <c r="N3" s="225" t="s">
        <v>19</v>
      </c>
      <c r="O3" s="227" t="s">
        <v>281</v>
      </c>
      <c r="P3" s="229" t="s">
        <v>282</v>
      </c>
      <c r="Q3" s="229"/>
      <c r="R3" s="229"/>
      <c r="S3" s="230"/>
      <c r="T3" s="230"/>
      <c r="U3" s="230"/>
      <c r="V3" s="231"/>
      <c r="W3" s="232" t="s">
        <v>283</v>
      </c>
    </row>
    <row r="4" spans="1:23" s="77" customFormat="1" ht="39" customHeight="1" thickBot="1">
      <c r="A4" s="239"/>
      <c r="B4" s="235"/>
      <c r="C4" s="226"/>
      <c r="D4" s="237"/>
      <c r="E4" s="87" t="s">
        <v>20</v>
      </c>
      <c r="F4" s="88" t="s">
        <v>21</v>
      </c>
      <c r="G4" s="87" t="s">
        <v>20</v>
      </c>
      <c r="H4" s="88" t="s">
        <v>21</v>
      </c>
      <c r="I4" s="89" t="s">
        <v>22</v>
      </c>
      <c r="J4" s="89" t="s">
        <v>23</v>
      </c>
      <c r="K4" s="226"/>
      <c r="L4" s="226"/>
      <c r="M4" s="226"/>
      <c r="N4" s="226"/>
      <c r="O4" s="228"/>
      <c r="P4" s="90" t="s">
        <v>284</v>
      </c>
      <c r="Q4" s="90" t="s">
        <v>285</v>
      </c>
      <c r="R4" s="90" t="s">
        <v>286</v>
      </c>
      <c r="S4" s="91" t="s">
        <v>287</v>
      </c>
      <c r="T4" s="91" t="s">
        <v>288</v>
      </c>
      <c r="U4" s="91" t="s">
        <v>289</v>
      </c>
      <c r="V4" s="91" t="s">
        <v>290</v>
      </c>
      <c r="W4" s="233"/>
    </row>
    <row r="5" spans="1:23" s="100" customFormat="1" ht="96">
      <c r="A5" s="133" t="s">
        <v>698</v>
      </c>
      <c r="B5" s="153">
        <v>1</v>
      </c>
      <c r="C5" s="154" t="s">
        <v>45</v>
      </c>
      <c r="D5" s="186">
        <v>2</v>
      </c>
      <c r="E5" s="155">
        <v>45679</v>
      </c>
      <c r="F5" s="156">
        <v>0.375</v>
      </c>
      <c r="G5" s="155">
        <v>45679</v>
      </c>
      <c r="H5" s="156">
        <v>0.69444444444444453</v>
      </c>
      <c r="I5" s="157">
        <f t="shared" ref="I5:I68" si="0">H5-F5</f>
        <v>0.31944444444444453</v>
      </c>
      <c r="J5" s="158">
        <f t="shared" ref="J5:J68" si="1">I5*D5</f>
        <v>0.63888888888888906</v>
      </c>
      <c r="K5" s="159" t="s">
        <v>291</v>
      </c>
      <c r="L5" s="160" t="s">
        <v>292</v>
      </c>
      <c r="M5" s="161" t="s">
        <v>46</v>
      </c>
      <c r="N5" s="162" t="s">
        <v>293</v>
      </c>
      <c r="O5" s="211">
        <v>2</v>
      </c>
      <c r="P5" s="163"/>
      <c r="Q5" s="163">
        <v>4</v>
      </c>
      <c r="R5" s="163"/>
      <c r="S5" s="163"/>
      <c r="T5" s="163"/>
      <c r="U5" s="163"/>
      <c r="V5" s="163"/>
      <c r="W5" s="164"/>
    </row>
    <row r="6" spans="1:23" s="100" customFormat="1" ht="96">
      <c r="A6" s="133" t="s">
        <v>698</v>
      </c>
      <c r="B6" s="109">
        <v>2</v>
      </c>
      <c r="C6" s="92" t="s">
        <v>45</v>
      </c>
      <c r="D6" s="187">
        <v>2</v>
      </c>
      <c r="E6" s="93">
        <v>45680</v>
      </c>
      <c r="F6" s="94">
        <v>0.375</v>
      </c>
      <c r="G6" s="93">
        <v>45680</v>
      </c>
      <c r="H6" s="94">
        <v>0.6875</v>
      </c>
      <c r="I6" s="95">
        <f t="shared" si="0"/>
        <v>0.3125</v>
      </c>
      <c r="J6" s="105">
        <f t="shared" si="1"/>
        <v>0.625</v>
      </c>
      <c r="K6" s="96" t="s">
        <v>294</v>
      </c>
      <c r="L6" s="147" t="s">
        <v>295</v>
      </c>
      <c r="M6" s="97" t="s">
        <v>46</v>
      </c>
      <c r="N6" s="148" t="s">
        <v>296</v>
      </c>
      <c r="O6" s="212">
        <v>2</v>
      </c>
      <c r="P6" s="108" t="s">
        <v>71</v>
      </c>
      <c r="Q6" s="108">
        <v>2</v>
      </c>
      <c r="R6" s="108">
        <v>3</v>
      </c>
      <c r="S6" s="108"/>
      <c r="T6" s="108"/>
      <c r="U6" s="108"/>
      <c r="V6" s="108"/>
      <c r="W6" s="149" t="s">
        <v>297</v>
      </c>
    </row>
    <row r="7" spans="1:23" s="100" customFormat="1" ht="96">
      <c r="A7" s="133" t="s">
        <v>698</v>
      </c>
      <c r="B7" s="109">
        <v>3</v>
      </c>
      <c r="C7" s="92" t="s">
        <v>45</v>
      </c>
      <c r="D7" s="187">
        <v>2</v>
      </c>
      <c r="E7" s="93">
        <v>45681</v>
      </c>
      <c r="F7" s="94">
        <v>0.375</v>
      </c>
      <c r="G7" s="93">
        <v>45681</v>
      </c>
      <c r="H7" s="94">
        <v>0.69444444444444442</v>
      </c>
      <c r="I7" s="95">
        <f t="shared" si="0"/>
        <v>0.31944444444444442</v>
      </c>
      <c r="J7" s="105">
        <f t="shared" si="1"/>
        <v>0.63888888888888884</v>
      </c>
      <c r="K7" s="96" t="s">
        <v>298</v>
      </c>
      <c r="L7" s="147" t="s">
        <v>299</v>
      </c>
      <c r="M7" s="97" t="s">
        <v>46</v>
      </c>
      <c r="N7" s="148" t="s">
        <v>300</v>
      </c>
      <c r="O7" s="213">
        <v>2</v>
      </c>
      <c r="P7" s="150"/>
      <c r="Q7" s="150"/>
      <c r="R7" s="150" t="s">
        <v>71</v>
      </c>
      <c r="S7" s="150"/>
      <c r="T7" s="150"/>
      <c r="U7" s="150"/>
      <c r="V7" s="150"/>
      <c r="W7" s="149" t="s">
        <v>301</v>
      </c>
    </row>
    <row r="8" spans="1:23" s="100" customFormat="1" ht="72">
      <c r="A8" s="133" t="s">
        <v>698</v>
      </c>
      <c r="B8" s="109">
        <v>4</v>
      </c>
      <c r="C8" s="92" t="s">
        <v>45</v>
      </c>
      <c r="D8" s="187">
        <v>2</v>
      </c>
      <c r="E8" s="93">
        <v>45691</v>
      </c>
      <c r="F8" s="94">
        <v>0.375</v>
      </c>
      <c r="G8" s="93">
        <v>45691</v>
      </c>
      <c r="H8" s="94">
        <v>0.6875</v>
      </c>
      <c r="I8" s="95">
        <f t="shared" si="0"/>
        <v>0.3125</v>
      </c>
      <c r="J8" s="105">
        <f t="shared" si="1"/>
        <v>0.625</v>
      </c>
      <c r="K8" s="96" t="s">
        <v>302</v>
      </c>
      <c r="L8" s="147" t="s">
        <v>303</v>
      </c>
      <c r="M8" s="97" t="s">
        <v>46</v>
      </c>
      <c r="N8" s="98" t="s">
        <v>304</v>
      </c>
      <c r="O8" s="213">
        <v>2</v>
      </c>
      <c r="P8" s="150"/>
      <c r="Q8" s="150"/>
      <c r="R8" s="150"/>
      <c r="S8" s="150"/>
      <c r="T8" s="150"/>
      <c r="U8" s="150"/>
      <c r="V8" s="150"/>
      <c r="W8" s="151" t="s">
        <v>71</v>
      </c>
    </row>
    <row r="9" spans="1:23" s="100" customFormat="1" ht="96">
      <c r="A9" s="133" t="s">
        <v>698</v>
      </c>
      <c r="B9" s="109">
        <v>5</v>
      </c>
      <c r="C9" s="92" t="s">
        <v>45</v>
      </c>
      <c r="D9" s="187">
        <v>2</v>
      </c>
      <c r="E9" s="93">
        <v>45692</v>
      </c>
      <c r="F9" s="94">
        <v>0.375</v>
      </c>
      <c r="G9" s="93">
        <v>45692</v>
      </c>
      <c r="H9" s="94">
        <v>0.6875</v>
      </c>
      <c r="I9" s="95">
        <f t="shared" si="0"/>
        <v>0.3125</v>
      </c>
      <c r="J9" s="105">
        <f t="shared" si="1"/>
        <v>0.625</v>
      </c>
      <c r="K9" s="96" t="s">
        <v>305</v>
      </c>
      <c r="L9" s="147" t="s">
        <v>306</v>
      </c>
      <c r="M9" s="97" t="s">
        <v>46</v>
      </c>
      <c r="N9" s="98" t="s">
        <v>307</v>
      </c>
      <c r="O9" s="212">
        <v>1.5</v>
      </c>
      <c r="P9" s="108">
        <v>7</v>
      </c>
      <c r="Q9" s="108"/>
      <c r="R9" s="108"/>
      <c r="S9" s="108">
        <v>1</v>
      </c>
      <c r="T9" s="108"/>
      <c r="U9" s="108"/>
      <c r="V9" s="108">
        <v>1</v>
      </c>
      <c r="W9" s="149" t="s">
        <v>71</v>
      </c>
    </row>
    <row r="10" spans="1:23" s="100" customFormat="1" ht="72">
      <c r="A10" s="133" t="s">
        <v>698</v>
      </c>
      <c r="B10" s="109">
        <v>6</v>
      </c>
      <c r="C10" s="92" t="s">
        <v>45</v>
      </c>
      <c r="D10" s="187">
        <v>2</v>
      </c>
      <c r="E10" s="93">
        <v>45694</v>
      </c>
      <c r="F10" s="94">
        <v>0.375</v>
      </c>
      <c r="G10" s="93">
        <v>45694</v>
      </c>
      <c r="H10" s="94">
        <v>0.6875</v>
      </c>
      <c r="I10" s="95">
        <f t="shared" si="0"/>
        <v>0.3125</v>
      </c>
      <c r="J10" s="105">
        <f t="shared" si="1"/>
        <v>0.625</v>
      </c>
      <c r="K10" s="96">
        <v>8</v>
      </c>
      <c r="L10" s="147" t="s">
        <v>308</v>
      </c>
      <c r="M10" s="97" t="s">
        <v>46</v>
      </c>
      <c r="N10" s="98" t="s">
        <v>309</v>
      </c>
      <c r="O10" s="212">
        <v>1.5</v>
      </c>
      <c r="P10" s="108">
        <v>7</v>
      </c>
      <c r="Q10" s="108">
        <v>7</v>
      </c>
      <c r="R10" s="108"/>
      <c r="S10" s="108"/>
      <c r="T10" s="108"/>
      <c r="U10" s="108"/>
      <c r="V10" s="108"/>
      <c r="W10" s="149" t="s">
        <v>71</v>
      </c>
    </row>
    <row r="11" spans="1:23" s="100" customFormat="1" ht="72">
      <c r="A11" s="133" t="s">
        <v>698</v>
      </c>
      <c r="B11" s="109">
        <v>7</v>
      </c>
      <c r="C11" s="92" t="s">
        <v>45</v>
      </c>
      <c r="D11" s="187">
        <v>2</v>
      </c>
      <c r="E11" s="93">
        <v>45695</v>
      </c>
      <c r="F11" s="94">
        <v>0.375</v>
      </c>
      <c r="G11" s="93">
        <v>45695</v>
      </c>
      <c r="H11" s="94">
        <v>0.6875</v>
      </c>
      <c r="I11" s="95">
        <f t="shared" si="0"/>
        <v>0.3125</v>
      </c>
      <c r="J11" s="105">
        <f t="shared" si="1"/>
        <v>0.625</v>
      </c>
      <c r="K11" s="96" t="s">
        <v>310</v>
      </c>
      <c r="L11" s="147" t="s">
        <v>311</v>
      </c>
      <c r="M11" s="97" t="s">
        <v>46</v>
      </c>
      <c r="N11" s="98" t="s">
        <v>312</v>
      </c>
      <c r="O11" s="212">
        <v>1.5</v>
      </c>
      <c r="P11" s="108">
        <v>7</v>
      </c>
      <c r="Q11" s="108" t="s">
        <v>71</v>
      </c>
      <c r="R11" s="108"/>
      <c r="S11" s="108"/>
      <c r="T11" s="108"/>
      <c r="U11" s="108"/>
      <c r="V11" s="108"/>
      <c r="W11" s="149" t="s">
        <v>313</v>
      </c>
    </row>
    <row r="12" spans="1:23" s="100" customFormat="1" ht="72">
      <c r="A12" s="133" t="s">
        <v>698</v>
      </c>
      <c r="B12" s="109">
        <v>8</v>
      </c>
      <c r="C12" s="92" t="s">
        <v>45</v>
      </c>
      <c r="D12" s="187">
        <v>2</v>
      </c>
      <c r="E12" s="93">
        <v>45698</v>
      </c>
      <c r="F12" s="94">
        <v>0.54166666666666663</v>
      </c>
      <c r="G12" s="93">
        <v>45698</v>
      </c>
      <c r="H12" s="94">
        <v>0.6875</v>
      </c>
      <c r="I12" s="95">
        <f t="shared" si="0"/>
        <v>0.14583333333333337</v>
      </c>
      <c r="J12" s="105">
        <f t="shared" si="1"/>
        <v>0.29166666666666674</v>
      </c>
      <c r="K12" s="96" t="s">
        <v>314</v>
      </c>
      <c r="L12" s="147" t="s">
        <v>315</v>
      </c>
      <c r="M12" s="97" t="s">
        <v>46</v>
      </c>
      <c r="N12" s="98" t="s">
        <v>316</v>
      </c>
      <c r="O12" s="212">
        <v>1.5</v>
      </c>
      <c r="P12" s="108">
        <v>7</v>
      </c>
      <c r="Q12" s="108" t="s">
        <v>71</v>
      </c>
      <c r="R12" s="108"/>
      <c r="S12" s="108"/>
      <c r="T12" s="108"/>
      <c r="U12" s="108"/>
      <c r="V12" s="108"/>
      <c r="W12" s="149" t="s">
        <v>71</v>
      </c>
    </row>
    <row r="13" spans="1:23" s="100" customFormat="1" ht="96">
      <c r="A13" s="133" t="s">
        <v>698</v>
      </c>
      <c r="B13" s="109">
        <v>9</v>
      </c>
      <c r="C13" s="92" t="s">
        <v>45</v>
      </c>
      <c r="D13" s="187">
        <v>2</v>
      </c>
      <c r="E13" s="93">
        <v>45699</v>
      </c>
      <c r="F13" s="94">
        <v>0.375</v>
      </c>
      <c r="G13" s="93">
        <v>45699</v>
      </c>
      <c r="H13" s="94">
        <v>0.67361111111111116</v>
      </c>
      <c r="I13" s="95">
        <f t="shared" si="0"/>
        <v>0.29861111111111116</v>
      </c>
      <c r="J13" s="105">
        <f t="shared" si="1"/>
        <v>0.59722222222222232</v>
      </c>
      <c r="K13" s="96">
        <v>2</v>
      </c>
      <c r="L13" s="147">
        <v>203</v>
      </c>
      <c r="M13" s="97" t="s">
        <v>46</v>
      </c>
      <c r="N13" s="98" t="s">
        <v>317</v>
      </c>
      <c r="O13" s="212">
        <v>2</v>
      </c>
      <c r="P13" s="108">
        <v>3</v>
      </c>
      <c r="Q13" s="108"/>
      <c r="R13" s="108"/>
      <c r="S13" s="108"/>
      <c r="T13" s="108"/>
      <c r="U13" s="108"/>
      <c r="V13" s="108"/>
      <c r="W13" s="149"/>
    </row>
    <row r="14" spans="1:23" s="100" customFormat="1" ht="96">
      <c r="A14" s="133" t="s">
        <v>698</v>
      </c>
      <c r="B14" s="109">
        <v>10</v>
      </c>
      <c r="C14" s="92" t="s">
        <v>45</v>
      </c>
      <c r="D14" s="187">
        <v>2</v>
      </c>
      <c r="E14" s="93">
        <v>45701</v>
      </c>
      <c r="F14" s="94">
        <v>0.375</v>
      </c>
      <c r="G14" s="93">
        <v>45701</v>
      </c>
      <c r="H14" s="94">
        <v>0.6875</v>
      </c>
      <c r="I14" s="95">
        <f t="shared" si="0"/>
        <v>0.3125</v>
      </c>
      <c r="J14" s="105">
        <f t="shared" si="1"/>
        <v>0.625</v>
      </c>
      <c r="K14" s="96">
        <v>102</v>
      </c>
      <c r="L14" s="147">
        <v>205</v>
      </c>
      <c r="M14" s="97" t="s">
        <v>46</v>
      </c>
      <c r="N14" s="98" t="s">
        <v>318</v>
      </c>
      <c r="O14" s="212">
        <v>2</v>
      </c>
      <c r="P14" s="108">
        <v>3</v>
      </c>
      <c r="Q14" s="108">
        <v>1</v>
      </c>
      <c r="R14" s="108" t="s">
        <v>701</v>
      </c>
      <c r="S14" s="108"/>
      <c r="T14" s="108"/>
      <c r="U14" s="108"/>
      <c r="V14" s="108"/>
      <c r="W14" s="149"/>
    </row>
    <row r="15" spans="1:23" s="100" customFormat="1" ht="72">
      <c r="A15" s="133" t="s">
        <v>698</v>
      </c>
      <c r="B15" s="109">
        <v>11</v>
      </c>
      <c r="C15" s="92" t="s">
        <v>45</v>
      </c>
      <c r="D15" s="187">
        <v>2</v>
      </c>
      <c r="E15" s="93">
        <v>45702</v>
      </c>
      <c r="F15" s="94">
        <v>0.375</v>
      </c>
      <c r="G15" s="93">
        <v>45702</v>
      </c>
      <c r="H15" s="94">
        <v>0.5</v>
      </c>
      <c r="I15" s="95">
        <f t="shared" si="0"/>
        <v>0.125</v>
      </c>
      <c r="J15" s="105">
        <f t="shared" si="1"/>
        <v>0.25</v>
      </c>
      <c r="K15" s="96">
        <v>5</v>
      </c>
      <c r="L15" s="147">
        <v>301</v>
      </c>
      <c r="M15" s="97" t="s">
        <v>46</v>
      </c>
      <c r="N15" s="98" t="s">
        <v>319</v>
      </c>
      <c r="O15" s="212">
        <v>2</v>
      </c>
      <c r="P15" s="108"/>
      <c r="Q15" s="108"/>
      <c r="R15" s="108"/>
      <c r="S15" s="108"/>
      <c r="T15" s="108"/>
      <c r="U15" s="108"/>
      <c r="V15" s="108"/>
      <c r="W15" s="149"/>
    </row>
    <row r="16" spans="1:23" s="100" customFormat="1" ht="72" customHeight="1">
      <c r="A16" s="133" t="s">
        <v>698</v>
      </c>
      <c r="B16" s="109">
        <v>12</v>
      </c>
      <c r="C16" s="92" t="s">
        <v>45</v>
      </c>
      <c r="D16" s="187">
        <v>1</v>
      </c>
      <c r="E16" s="93">
        <v>45707</v>
      </c>
      <c r="F16" s="94">
        <v>0.54166666666666663</v>
      </c>
      <c r="G16" s="93">
        <v>45692</v>
      </c>
      <c r="H16" s="94">
        <v>0.64583333333333337</v>
      </c>
      <c r="I16" s="95">
        <f t="shared" si="0"/>
        <v>0.10416666666666674</v>
      </c>
      <c r="J16" s="105">
        <f t="shared" si="1"/>
        <v>0.10416666666666674</v>
      </c>
      <c r="K16" s="96">
        <v>5</v>
      </c>
      <c r="L16" s="147">
        <v>501</v>
      </c>
      <c r="M16" s="97" t="s">
        <v>46</v>
      </c>
      <c r="N16" s="98" t="s">
        <v>320</v>
      </c>
      <c r="O16" s="212"/>
      <c r="P16" s="108">
        <v>7</v>
      </c>
      <c r="Q16" s="108"/>
      <c r="R16" s="108"/>
      <c r="S16" s="108"/>
      <c r="T16" s="108"/>
      <c r="U16" s="108"/>
      <c r="V16" s="108"/>
      <c r="W16" s="149"/>
    </row>
    <row r="17" spans="1:23" s="100" customFormat="1" ht="72" customHeight="1">
      <c r="A17" s="133" t="s">
        <v>698</v>
      </c>
      <c r="B17" s="109">
        <v>13</v>
      </c>
      <c r="C17" s="92" t="s">
        <v>321</v>
      </c>
      <c r="D17" s="187">
        <v>2</v>
      </c>
      <c r="E17" s="93">
        <v>45741</v>
      </c>
      <c r="F17" s="94">
        <v>0.375</v>
      </c>
      <c r="G17" s="93">
        <v>45741</v>
      </c>
      <c r="H17" s="94">
        <v>0.67708333333333337</v>
      </c>
      <c r="I17" s="95">
        <f t="shared" si="0"/>
        <v>0.30208333333333337</v>
      </c>
      <c r="J17" s="105">
        <f t="shared" si="1"/>
        <v>0.60416666666666674</v>
      </c>
      <c r="K17" s="96">
        <v>7</v>
      </c>
      <c r="L17" s="147">
        <v>506</v>
      </c>
      <c r="M17" s="97" t="s">
        <v>322</v>
      </c>
      <c r="N17" s="98" t="s">
        <v>323</v>
      </c>
      <c r="O17" s="212">
        <f t="shared" ref="O17:O27" si="2">D17</f>
        <v>2</v>
      </c>
      <c r="P17" s="108"/>
      <c r="Q17" s="108">
        <v>4</v>
      </c>
      <c r="R17" s="108"/>
      <c r="S17" s="108"/>
      <c r="T17" s="108">
        <v>2.5</v>
      </c>
      <c r="U17" s="108">
        <v>2.5</v>
      </c>
      <c r="V17" s="108"/>
      <c r="W17" s="149" t="s">
        <v>324</v>
      </c>
    </row>
    <row r="18" spans="1:23" s="100" customFormat="1" ht="120">
      <c r="A18" s="133" t="s">
        <v>698</v>
      </c>
      <c r="B18" s="109">
        <v>14</v>
      </c>
      <c r="C18" s="92" t="s">
        <v>321</v>
      </c>
      <c r="D18" s="187">
        <v>2</v>
      </c>
      <c r="E18" s="93">
        <v>45744</v>
      </c>
      <c r="F18" s="94">
        <v>0.375</v>
      </c>
      <c r="G18" s="93">
        <v>45744</v>
      </c>
      <c r="H18" s="94">
        <v>0.68055555555555558</v>
      </c>
      <c r="I18" s="95">
        <f t="shared" si="0"/>
        <v>0.30555555555555558</v>
      </c>
      <c r="J18" s="105">
        <f t="shared" si="1"/>
        <v>0.61111111111111116</v>
      </c>
      <c r="K18" s="96" t="s">
        <v>325</v>
      </c>
      <c r="L18" s="147" t="s">
        <v>326</v>
      </c>
      <c r="M18" s="97" t="s">
        <v>322</v>
      </c>
      <c r="N18" s="98" t="s">
        <v>327</v>
      </c>
      <c r="O18" s="212">
        <f t="shared" si="2"/>
        <v>2</v>
      </c>
      <c r="P18" s="108"/>
      <c r="Q18" s="108"/>
      <c r="R18" s="108"/>
      <c r="S18" s="108"/>
      <c r="T18" s="108"/>
      <c r="U18" s="108"/>
      <c r="V18" s="108"/>
      <c r="W18" s="149"/>
    </row>
    <row r="19" spans="1:23" s="100" customFormat="1" ht="96">
      <c r="A19" s="133" t="s">
        <v>698</v>
      </c>
      <c r="B19" s="109">
        <v>15</v>
      </c>
      <c r="C19" s="92" t="s">
        <v>321</v>
      </c>
      <c r="D19" s="187">
        <v>2</v>
      </c>
      <c r="E19" s="93">
        <v>45747</v>
      </c>
      <c r="F19" s="94">
        <v>0.375</v>
      </c>
      <c r="G19" s="93">
        <v>45747</v>
      </c>
      <c r="H19" s="94">
        <v>0.6875</v>
      </c>
      <c r="I19" s="95">
        <f t="shared" si="0"/>
        <v>0.3125</v>
      </c>
      <c r="J19" s="105">
        <f t="shared" si="1"/>
        <v>0.625</v>
      </c>
      <c r="K19" s="96" t="s">
        <v>328</v>
      </c>
      <c r="L19" s="147" t="s">
        <v>329</v>
      </c>
      <c r="M19" s="97" t="s">
        <v>322</v>
      </c>
      <c r="N19" s="98" t="s">
        <v>330</v>
      </c>
      <c r="O19" s="212">
        <f t="shared" si="2"/>
        <v>2</v>
      </c>
      <c r="P19" s="108"/>
      <c r="Q19" s="108"/>
      <c r="R19" s="108"/>
      <c r="S19" s="108">
        <v>1</v>
      </c>
      <c r="T19" s="108"/>
      <c r="U19" s="108"/>
      <c r="V19" s="108"/>
      <c r="W19" s="149"/>
    </row>
    <row r="20" spans="1:23" s="100" customFormat="1" ht="96">
      <c r="A20" s="133" t="s">
        <v>698</v>
      </c>
      <c r="B20" s="109">
        <v>16</v>
      </c>
      <c r="C20" s="92" t="s">
        <v>321</v>
      </c>
      <c r="D20" s="187">
        <v>2</v>
      </c>
      <c r="E20" s="93">
        <v>45749</v>
      </c>
      <c r="F20" s="94">
        <v>0.375</v>
      </c>
      <c r="G20" s="93">
        <v>45749</v>
      </c>
      <c r="H20" s="94">
        <v>0.6875</v>
      </c>
      <c r="I20" s="95">
        <f t="shared" si="0"/>
        <v>0.3125</v>
      </c>
      <c r="J20" s="105">
        <f t="shared" si="1"/>
        <v>0.625</v>
      </c>
      <c r="K20" s="96" t="s">
        <v>328</v>
      </c>
      <c r="L20" s="147" t="s">
        <v>331</v>
      </c>
      <c r="M20" s="97" t="s">
        <v>322</v>
      </c>
      <c r="N20" s="98" t="s">
        <v>332</v>
      </c>
      <c r="O20" s="212">
        <f t="shared" si="2"/>
        <v>2</v>
      </c>
      <c r="P20" s="108"/>
      <c r="Q20" s="108"/>
      <c r="R20" s="108"/>
      <c r="S20" s="108">
        <v>1</v>
      </c>
      <c r="T20" s="108"/>
      <c r="U20" s="108"/>
      <c r="V20" s="108">
        <v>2</v>
      </c>
      <c r="W20" s="149" t="s">
        <v>333</v>
      </c>
    </row>
    <row r="21" spans="1:23" s="100" customFormat="1" ht="72" customHeight="1">
      <c r="A21" s="133" t="s">
        <v>698</v>
      </c>
      <c r="B21" s="109">
        <v>17</v>
      </c>
      <c r="C21" s="92" t="s">
        <v>321</v>
      </c>
      <c r="D21" s="187">
        <v>2</v>
      </c>
      <c r="E21" s="93">
        <v>45750</v>
      </c>
      <c r="F21" s="94">
        <v>0.375</v>
      </c>
      <c r="G21" s="93">
        <v>45750</v>
      </c>
      <c r="H21" s="94">
        <v>0.6875</v>
      </c>
      <c r="I21" s="95">
        <f t="shared" si="0"/>
        <v>0.3125</v>
      </c>
      <c r="J21" s="105">
        <f t="shared" si="1"/>
        <v>0.625</v>
      </c>
      <c r="K21" s="96">
        <v>8</v>
      </c>
      <c r="L21" s="147">
        <v>502</v>
      </c>
      <c r="M21" s="97" t="s">
        <v>322</v>
      </c>
      <c r="N21" s="98" t="s">
        <v>334</v>
      </c>
      <c r="O21" s="212">
        <f t="shared" si="2"/>
        <v>2</v>
      </c>
      <c r="P21" s="108"/>
      <c r="Q21" s="108">
        <v>2</v>
      </c>
      <c r="R21" s="108"/>
      <c r="S21" s="108"/>
      <c r="T21" s="108"/>
      <c r="U21" s="108"/>
      <c r="V21" s="108"/>
      <c r="W21" s="149"/>
    </row>
    <row r="22" spans="1:23" s="100" customFormat="1" ht="96">
      <c r="A22" s="133" t="s">
        <v>698</v>
      </c>
      <c r="B22" s="109">
        <v>18</v>
      </c>
      <c r="C22" s="92" t="s">
        <v>321</v>
      </c>
      <c r="D22" s="187">
        <v>2</v>
      </c>
      <c r="E22" s="93">
        <v>45755</v>
      </c>
      <c r="F22" s="94">
        <v>0.375</v>
      </c>
      <c r="G22" s="93">
        <v>45755</v>
      </c>
      <c r="H22" s="94">
        <v>0.6875</v>
      </c>
      <c r="I22" s="95">
        <f t="shared" si="0"/>
        <v>0.3125</v>
      </c>
      <c r="J22" s="105">
        <f t="shared" si="1"/>
        <v>0.625</v>
      </c>
      <c r="K22" s="96">
        <v>2</v>
      </c>
      <c r="L22" s="147">
        <v>108</v>
      </c>
      <c r="M22" s="97" t="s">
        <v>322</v>
      </c>
      <c r="N22" s="98" t="s">
        <v>335</v>
      </c>
      <c r="O22" s="212">
        <f t="shared" si="2"/>
        <v>2</v>
      </c>
      <c r="P22" s="108"/>
      <c r="Q22" s="108">
        <v>6</v>
      </c>
      <c r="R22" s="108">
        <v>9</v>
      </c>
      <c r="S22" s="108"/>
      <c r="T22" s="108"/>
      <c r="U22" s="108"/>
      <c r="V22" s="108"/>
      <c r="W22" s="149"/>
    </row>
    <row r="23" spans="1:23" s="121" customFormat="1" ht="96">
      <c r="A23" s="178" t="s">
        <v>698</v>
      </c>
      <c r="B23" s="109">
        <v>19</v>
      </c>
      <c r="C23" s="92" t="s">
        <v>321</v>
      </c>
      <c r="D23" s="187">
        <v>2</v>
      </c>
      <c r="E23" s="93">
        <v>45756</v>
      </c>
      <c r="F23" s="94">
        <v>0.375</v>
      </c>
      <c r="G23" s="93">
        <v>45756</v>
      </c>
      <c r="H23" s="94">
        <v>0.6875</v>
      </c>
      <c r="I23" s="95">
        <f t="shared" si="0"/>
        <v>0.3125</v>
      </c>
      <c r="J23" s="105">
        <f t="shared" si="1"/>
        <v>0.625</v>
      </c>
      <c r="K23" s="96" t="s">
        <v>336</v>
      </c>
      <c r="L23" s="147" t="s">
        <v>337</v>
      </c>
      <c r="M23" s="97" t="s">
        <v>322</v>
      </c>
      <c r="N23" s="98" t="s">
        <v>338</v>
      </c>
      <c r="O23" s="212">
        <f t="shared" si="2"/>
        <v>2</v>
      </c>
      <c r="P23" s="108">
        <v>3</v>
      </c>
      <c r="Q23" s="108">
        <v>3</v>
      </c>
      <c r="R23" s="108">
        <v>3</v>
      </c>
      <c r="S23" s="108"/>
      <c r="T23" s="108">
        <v>5</v>
      </c>
      <c r="U23" s="108">
        <v>5</v>
      </c>
      <c r="V23" s="108"/>
      <c r="W23" s="149" t="s">
        <v>339</v>
      </c>
    </row>
    <row r="24" spans="1:23" s="121" customFormat="1" ht="144">
      <c r="A24" s="178" t="s">
        <v>698</v>
      </c>
      <c r="B24" s="109">
        <v>20</v>
      </c>
      <c r="C24" s="92" t="s">
        <v>321</v>
      </c>
      <c r="D24" s="187">
        <v>2</v>
      </c>
      <c r="E24" s="93">
        <v>45757</v>
      </c>
      <c r="F24" s="94">
        <v>0.375</v>
      </c>
      <c r="G24" s="93">
        <v>45757</v>
      </c>
      <c r="H24" s="94">
        <v>0.6875</v>
      </c>
      <c r="I24" s="95">
        <f t="shared" si="0"/>
        <v>0.3125</v>
      </c>
      <c r="J24" s="105">
        <f t="shared" si="1"/>
        <v>0.625</v>
      </c>
      <c r="K24" s="152" t="s">
        <v>340</v>
      </c>
      <c r="L24" s="147" t="s">
        <v>341</v>
      </c>
      <c r="M24" s="97" t="s">
        <v>322</v>
      </c>
      <c r="N24" s="98" t="s">
        <v>342</v>
      </c>
      <c r="O24" s="212">
        <v>1.5</v>
      </c>
      <c r="P24" s="108">
        <v>7</v>
      </c>
      <c r="Q24" s="108">
        <v>2</v>
      </c>
      <c r="R24" s="108"/>
      <c r="S24" s="108"/>
      <c r="T24" s="108"/>
      <c r="U24" s="108"/>
      <c r="V24" s="108"/>
      <c r="W24" s="149" t="s">
        <v>343</v>
      </c>
    </row>
    <row r="25" spans="1:23" s="121" customFormat="1" ht="26.25">
      <c r="A25" s="178" t="s">
        <v>698</v>
      </c>
      <c r="B25" s="109">
        <v>21</v>
      </c>
      <c r="C25" s="92" t="s">
        <v>321</v>
      </c>
      <c r="D25" s="187">
        <v>1</v>
      </c>
      <c r="E25" s="93">
        <v>45765</v>
      </c>
      <c r="F25" s="94">
        <v>0.4375</v>
      </c>
      <c r="G25" s="93">
        <v>45765</v>
      </c>
      <c r="H25" s="94">
        <v>0.47916666666666669</v>
      </c>
      <c r="I25" s="95">
        <f t="shared" si="0"/>
        <v>4.1666666666666685E-2</v>
      </c>
      <c r="J25" s="105">
        <f t="shared" si="1"/>
        <v>4.1666666666666685E-2</v>
      </c>
      <c r="K25" s="96">
        <v>5</v>
      </c>
      <c r="L25" s="147">
        <v>104</v>
      </c>
      <c r="M25" s="97" t="s">
        <v>322</v>
      </c>
      <c r="N25" s="98" t="s">
        <v>344</v>
      </c>
      <c r="O25" s="212">
        <v>0.5</v>
      </c>
      <c r="P25" s="108"/>
      <c r="Q25" s="108"/>
      <c r="R25" s="108"/>
      <c r="S25" s="108" t="s">
        <v>71</v>
      </c>
      <c r="T25" s="108"/>
      <c r="U25" s="108"/>
      <c r="V25" s="108"/>
      <c r="W25" s="149"/>
    </row>
    <row r="26" spans="1:23" s="121" customFormat="1" ht="96">
      <c r="A26" s="178" t="s">
        <v>698</v>
      </c>
      <c r="B26" s="109">
        <v>22</v>
      </c>
      <c r="C26" s="92" t="s">
        <v>321</v>
      </c>
      <c r="D26" s="187">
        <v>2</v>
      </c>
      <c r="E26" s="93">
        <v>45775</v>
      </c>
      <c r="F26" s="94">
        <v>0.375</v>
      </c>
      <c r="G26" s="93">
        <v>45775</v>
      </c>
      <c r="H26" s="94">
        <v>0.69444444444444442</v>
      </c>
      <c r="I26" s="95">
        <f t="shared" si="0"/>
        <v>0.31944444444444442</v>
      </c>
      <c r="J26" s="105">
        <f t="shared" si="1"/>
        <v>0.63888888888888884</v>
      </c>
      <c r="K26" s="96">
        <v>8</v>
      </c>
      <c r="L26" s="147">
        <v>401</v>
      </c>
      <c r="M26" s="97" t="s">
        <v>322</v>
      </c>
      <c r="N26" s="98" t="s">
        <v>345</v>
      </c>
      <c r="O26" s="212">
        <f t="shared" si="2"/>
        <v>2</v>
      </c>
      <c r="P26" s="108">
        <v>3</v>
      </c>
      <c r="Q26" s="108">
        <v>4</v>
      </c>
      <c r="R26" s="108"/>
      <c r="S26" s="108" t="s">
        <v>71</v>
      </c>
      <c r="T26" s="108"/>
      <c r="U26" s="108"/>
      <c r="V26" s="108" t="s">
        <v>71</v>
      </c>
      <c r="W26" s="149" t="s">
        <v>71</v>
      </c>
    </row>
    <row r="27" spans="1:23" s="121" customFormat="1" ht="144">
      <c r="A27" s="178" t="s">
        <v>698</v>
      </c>
      <c r="B27" s="109">
        <v>23</v>
      </c>
      <c r="C27" s="92" t="s">
        <v>321</v>
      </c>
      <c r="D27" s="187">
        <v>2</v>
      </c>
      <c r="E27" s="93">
        <v>45776</v>
      </c>
      <c r="F27" s="94">
        <v>0.375</v>
      </c>
      <c r="G27" s="93">
        <v>45776</v>
      </c>
      <c r="H27" s="94">
        <v>0.6875</v>
      </c>
      <c r="I27" s="95">
        <f t="shared" si="0"/>
        <v>0.3125</v>
      </c>
      <c r="J27" s="105">
        <f t="shared" si="1"/>
        <v>0.625</v>
      </c>
      <c r="K27" s="96" t="s">
        <v>346</v>
      </c>
      <c r="L27" s="147" t="s">
        <v>347</v>
      </c>
      <c r="M27" s="97" t="s">
        <v>322</v>
      </c>
      <c r="N27" s="98" t="s">
        <v>348</v>
      </c>
      <c r="O27" s="212">
        <f t="shared" si="2"/>
        <v>2</v>
      </c>
      <c r="P27" s="108">
        <v>3</v>
      </c>
      <c r="Q27" s="108">
        <v>3</v>
      </c>
      <c r="R27" s="108">
        <v>6</v>
      </c>
      <c r="S27" s="108"/>
      <c r="T27" s="108"/>
      <c r="U27" s="108"/>
      <c r="V27" s="108"/>
      <c r="W27" s="149"/>
    </row>
    <row r="28" spans="1:23" s="121" customFormat="1" ht="144">
      <c r="A28" s="178" t="s">
        <v>698</v>
      </c>
      <c r="B28" s="109">
        <v>24</v>
      </c>
      <c r="C28" s="92" t="s">
        <v>321</v>
      </c>
      <c r="D28" s="187">
        <v>3</v>
      </c>
      <c r="E28" s="93">
        <v>45777</v>
      </c>
      <c r="F28" s="94">
        <v>0.375</v>
      </c>
      <c r="G28" s="93">
        <v>45777</v>
      </c>
      <c r="H28" s="94">
        <v>0.6875</v>
      </c>
      <c r="I28" s="95">
        <f t="shared" si="0"/>
        <v>0.3125</v>
      </c>
      <c r="J28" s="105">
        <f t="shared" si="1"/>
        <v>0.9375</v>
      </c>
      <c r="K28" s="96" t="s">
        <v>349</v>
      </c>
      <c r="L28" s="147" t="s">
        <v>350</v>
      </c>
      <c r="M28" s="97" t="s">
        <v>322</v>
      </c>
      <c r="N28" s="98" t="s">
        <v>351</v>
      </c>
      <c r="O28" s="212">
        <v>2</v>
      </c>
      <c r="P28" s="108">
        <v>3</v>
      </c>
      <c r="Q28" s="108"/>
      <c r="R28" s="108"/>
      <c r="S28" s="108"/>
      <c r="T28" s="108"/>
      <c r="U28" s="108"/>
      <c r="V28" s="108">
        <v>1</v>
      </c>
      <c r="W28" s="149" t="s">
        <v>352</v>
      </c>
    </row>
    <row r="29" spans="1:23" s="121" customFormat="1" ht="72">
      <c r="A29" s="178" t="s">
        <v>698</v>
      </c>
      <c r="B29" s="109">
        <v>25</v>
      </c>
      <c r="C29" s="92" t="s">
        <v>321</v>
      </c>
      <c r="D29" s="187">
        <v>2</v>
      </c>
      <c r="E29" s="93">
        <v>45784</v>
      </c>
      <c r="F29" s="94">
        <v>0.375</v>
      </c>
      <c r="G29" s="93">
        <v>45784</v>
      </c>
      <c r="H29" s="94">
        <v>0.6875</v>
      </c>
      <c r="I29" s="95">
        <f t="shared" si="0"/>
        <v>0.3125</v>
      </c>
      <c r="J29" s="105">
        <f t="shared" si="1"/>
        <v>0.625</v>
      </c>
      <c r="K29" s="96" t="s">
        <v>353</v>
      </c>
      <c r="L29" s="147" t="s">
        <v>354</v>
      </c>
      <c r="M29" s="97" t="s">
        <v>322</v>
      </c>
      <c r="N29" s="98" t="s">
        <v>355</v>
      </c>
      <c r="O29" s="212">
        <v>2</v>
      </c>
      <c r="P29" s="108"/>
      <c r="Q29" s="108"/>
      <c r="R29" s="108"/>
      <c r="S29" s="108">
        <v>1</v>
      </c>
      <c r="T29" s="108"/>
      <c r="U29" s="108"/>
      <c r="V29" s="108">
        <v>2</v>
      </c>
      <c r="W29" s="149"/>
    </row>
    <row r="30" spans="1:23" s="121" customFormat="1" ht="120">
      <c r="A30" s="178" t="s">
        <v>698</v>
      </c>
      <c r="B30" s="109">
        <v>26</v>
      </c>
      <c r="C30" s="92" t="s">
        <v>321</v>
      </c>
      <c r="D30" s="187">
        <v>2</v>
      </c>
      <c r="E30" s="93">
        <v>45789</v>
      </c>
      <c r="F30" s="94">
        <v>0.375</v>
      </c>
      <c r="G30" s="93">
        <v>45789</v>
      </c>
      <c r="H30" s="94">
        <v>0.6875</v>
      </c>
      <c r="I30" s="95">
        <f t="shared" si="0"/>
        <v>0.3125</v>
      </c>
      <c r="J30" s="105">
        <f t="shared" si="1"/>
        <v>0.625</v>
      </c>
      <c r="K30" s="96">
        <v>2</v>
      </c>
      <c r="L30" s="147">
        <v>404</v>
      </c>
      <c r="M30" s="97" t="s">
        <v>322</v>
      </c>
      <c r="N30" s="98" t="s">
        <v>356</v>
      </c>
      <c r="O30" s="212">
        <v>2</v>
      </c>
      <c r="P30" s="108">
        <v>5</v>
      </c>
      <c r="Q30" s="108">
        <v>3</v>
      </c>
      <c r="R30" s="108"/>
      <c r="S30" s="108"/>
      <c r="T30" s="108"/>
      <c r="U30" s="108"/>
      <c r="V30" s="108"/>
      <c r="W30" s="149" t="s">
        <v>357</v>
      </c>
    </row>
    <row r="31" spans="1:23" s="121" customFormat="1" ht="72">
      <c r="A31" s="178" t="s">
        <v>698</v>
      </c>
      <c r="B31" s="109">
        <v>27</v>
      </c>
      <c r="C31" s="92" t="s">
        <v>321</v>
      </c>
      <c r="D31" s="187">
        <v>2</v>
      </c>
      <c r="E31" s="93">
        <v>45790</v>
      </c>
      <c r="F31" s="94">
        <v>0.375</v>
      </c>
      <c r="G31" s="93">
        <v>45790</v>
      </c>
      <c r="H31" s="94">
        <v>0.6875</v>
      </c>
      <c r="I31" s="95">
        <f t="shared" si="0"/>
        <v>0.3125</v>
      </c>
      <c r="J31" s="105">
        <f t="shared" si="1"/>
        <v>0.625</v>
      </c>
      <c r="K31" s="96">
        <v>2</v>
      </c>
      <c r="L31" s="147">
        <v>301</v>
      </c>
      <c r="M31" s="97" t="s">
        <v>322</v>
      </c>
      <c r="N31" s="98" t="s">
        <v>358</v>
      </c>
      <c r="O31" s="212">
        <v>2</v>
      </c>
      <c r="P31" s="108"/>
      <c r="Q31" s="108">
        <v>2</v>
      </c>
      <c r="R31" s="108"/>
      <c r="S31" s="108"/>
      <c r="T31" s="108"/>
      <c r="U31" s="108"/>
      <c r="V31" s="108"/>
      <c r="W31" s="149" t="s">
        <v>359</v>
      </c>
    </row>
    <row r="32" spans="1:23" s="121" customFormat="1" ht="26.25">
      <c r="A32" s="178" t="s">
        <v>698</v>
      </c>
      <c r="B32" s="109">
        <v>28</v>
      </c>
      <c r="C32" s="92" t="s">
        <v>321</v>
      </c>
      <c r="D32" s="187">
        <v>2</v>
      </c>
      <c r="E32" s="93">
        <v>45792</v>
      </c>
      <c r="F32" s="94">
        <v>0.5625</v>
      </c>
      <c r="G32" s="93">
        <v>45792</v>
      </c>
      <c r="H32" s="94">
        <v>0.625</v>
      </c>
      <c r="I32" s="95">
        <f t="shared" si="0"/>
        <v>6.25E-2</v>
      </c>
      <c r="J32" s="105">
        <f t="shared" si="1"/>
        <v>0.125</v>
      </c>
      <c r="K32" s="96">
        <v>9</v>
      </c>
      <c r="L32" s="147">
        <v>306</v>
      </c>
      <c r="M32" s="97" t="s">
        <v>322</v>
      </c>
      <c r="N32" s="98" t="s">
        <v>360</v>
      </c>
      <c r="O32" s="212">
        <v>0</v>
      </c>
      <c r="P32" s="108">
        <v>7</v>
      </c>
      <c r="Q32" s="108"/>
      <c r="R32" s="108"/>
      <c r="S32" s="108"/>
      <c r="T32" s="108"/>
      <c r="U32" s="108"/>
      <c r="V32" s="108"/>
      <c r="W32" s="149"/>
    </row>
    <row r="33" spans="1:23" s="121" customFormat="1" ht="144">
      <c r="A33" s="178" t="s">
        <v>698</v>
      </c>
      <c r="B33" s="109">
        <v>29</v>
      </c>
      <c r="C33" s="92" t="s">
        <v>321</v>
      </c>
      <c r="D33" s="187">
        <v>2</v>
      </c>
      <c r="E33" s="93">
        <v>45796</v>
      </c>
      <c r="F33" s="94">
        <v>0.375</v>
      </c>
      <c r="G33" s="93">
        <v>45796</v>
      </c>
      <c r="H33" s="94">
        <v>0.6875</v>
      </c>
      <c r="I33" s="95">
        <f t="shared" si="0"/>
        <v>0.3125</v>
      </c>
      <c r="J33" s="105">
        <f t="shared" si="1"/>
        <v>0.625</v>
      </c>
      <c r="K33" s="96">
        <v>8</v>
      </c>
      <c r="L33" s="147">
        <v>209</v>
      </c>
      <c r="M33" s="97" t="s">
        <v>322</v>
      </c>
      <c r="N33" s="98" t="s">
        <v>361</v>
      </c>
      <c r="O33" s="212">
        <v>2</v>
      </c>
      <c r="P33" s="108">
        <v>4</v>
      </c>
      <c r="Q33" s="108">
        <v>4</v>
      </c>
      <c r="R33" s="108"/>
      <c r="S33" s="108"/>
      <c r="T33" s="108"/>
      <c r="U33" s="108"/>
      <c r="V33" s="108"/>
      <c r="W33" s="149"/>
    </row>
    <row r="34" spans="1:23" s="121" customFormat="1" ht="120">
      <c r="A34" s="178" t="s">
        <v>698</v>
      </c>
      <c r="B34" s="109">
        <v>30</v>
      </c>
      <c r="C34" s="92" t="s">
        <v>321</v>
      </c>
      <c r="D34" s="187">
        <v>2</v>
      </c>
      <c r="E34" s="93">
        <v>45797</v>
      </c>
      <c r="F34" s="94">
        <v>0.375</v>
      </c>
      <c r="G34" s="93">
        <v>45797</v>
      </c>
      <c r="H34" s="94">
        <v>0.68055555555555558</v>
      </c>
      <c r="I34" s="95">
        <f t="shared" si="0"/>
        <v>0.30555555555555558</v>
      </c>
      <c r="J34" s="105">
        <f t="shared" si="1"/>
        <v>0.61111111111111116</v>
      </c>
      <c r="K34" s="96" t="s">
        <v>362</v>
      </c>
      <c r="L34" s="147" t="s">
        <v>363</v>
      </c>
      <c r="M34" s="97" t="s">
        <v>322</v>
      </c>
      <c r="N34" s="98" t="s">
        <v>364</v>
      </c>
      <c r="O34" s="212">
        <v>1.5</v>
      </c>
      <c r="P34" s="108">
        <v>9</v>
      </c>
      <c r="Q34" s="108">
        <v>4</v>
      </c>
      <c r="R34" s="108"/>
      <c r="S34" s="108"/>
      <c r="T34" s="108"/>
      <c r="U34" s="108"/>
      <c r="V34" s="108"/>
      <c r="W34" s="149"/>
    </row>
    <row r="35" spans="1:23" s="121" customFormat="1" ht="120">
      <c r="A35" s="178" t="s">
        <v>698</v>
      </c>
      <c r="B35" s="109">
        <v>31</v>
      </c>
      <c r="C35" s="92" t="s">
        <v>321</v>
      </c>
      <c r="D35" s="187">
        <v>2</v>
      </c>
      <c r="E35" s="93">
        <v>45806</v>
      </c>
      <c r="F35" s="94">
        <v>0.375</v>
      </c>
      <c r="G35" s="93">
        <v>45806</v>
      </c>
      <c r="H35" s="94">
        <v>0.69444444444444442</v>
      </c>
      <c r="I35" s="95">
        <f t="shared" si="0"/>
        <v>0.31944444444444442</v>
      </c>
      <c r="J35" s="105">
        <f t="shared" si="1"/>
        <v>0.63888888888888884</v>
      </c>
      <c r="K35" s="96" t="s">
        <v>365</v>
      </c>
      <c r="L35" s="147" t="s">
        <v>366</v>
      </c>
      <c r="M35" s="97" t="s">
        <v>322</v>
      </c>
      <c r="N35" s="98" t="s">
        <v>367</v>
      </c>
      <c r="O35" s="212">
        <v>2</v>
      </c>
      <c r="P35" s="108">
        <v>3</v>
      </c>
      <c r="Q35" s="108">
        <v>3</v>
      </c>
      <c r="R35" s="108">
        <v>3</v>
      </c>
      <c r="S35" s="108"/>
      <c r="T35" s="108"/>
      <c r="U35" s="108"/>
      <c r="V35" s="108"/>
      <c r="W35" s="149"/>
    </row>
    <row r="36" spans="1:23" s="121" customFormat="1" ht="120">
      <c r="A36" s="178" t="s">
        <v>698</v>
      </c>
      <c r="B36" s="109">
        <v>32</v>
      </c>
      <c r="C36" s="92" t="s">
        <v>321</v>
      </c>
      <c r="D36" s="187">
        <v>2</v>
      </c>
      <c r="E36" s="93">
        <v>45807</v>
      </c>
      <c r="F36" s="94">
        <v>0.375</v>
      </c>
      <c r="G36" s="93">
        <v>45807</v>
      </c>
      <c r="H36" s="94">
        <v>0.67361111111111116</v>
      </c>
      <c r="I36" s="95">
        <f t="shared" si="0"/>
        <v>0.29861111111111116</v>
      </c>
      <c r="J36" s="105">
        <f t="shared" si="1"/>
        <v>0.59722222222222232</v>
      </c>
      <c r="K36" s="96">
        <v>2</v>
      </c>
      <c r="L36" s="147">
        <v>201</v>
      </c>
      <c r="M36" s="97" t="s">
        <v>322</v>
      </c>
      <c r="N36" s="98" t="s">
        <v>699</v>
      </c>
      <c r="O36" s="212">
        <v>2</v>
      </c>
      <c r="P36" s="108">
        <v>2</v>
      </c>
      <c r="Q36" s="108">
        <v>1</v>
      </c>
      <c r="R36" s="108"/>
      <c r="S36" s="108"/>
      <c r="T36" s="108"/>
      <c r="U36" s="108"/>
      <c r="V36" s="108"/>
      <c r="W36" s="149"/>
    </row>
    <row r="37" spans="1:23" s="121" customFormat="1" ht="120">
      <c r="A37" s="178" t="s">
        <v>698</v>
      </c>
      <c r="B37" s="109">
        <v>33</v>
      </c>
      <c r="C37" s="92" t="s">
        <v>321</v>
      </c>
      <c r="D37" s="187">
        <v>2</v>
      </c>
      <c r="E37" s="93">
        <v>45824</v>
      </c>
      <c r="F37" s="94">
        <v>0.375</v>
      </c>
      <c r="G37" s="93">
        <v>45824</v>
      </c>
      <c r="H37" s="94">
        <v>0.6875</v>
      </c>
      <c r="I37" s="95">
        <f t="shared" si="0"/>
        <v>0.3125</v>
      </c>
      <c r="J37" s="105">
        <f t="shared" si="1"/>
        <v>0.625</v>
      </c>
      <c r="K37" s="96" t="s">
        <v>368</v>
      </c>
      <c r="L37" s="147" t="s">
        <v>369</v>
      </c>
      <c r="M37" s="97" t="s">
        <v>322</v>
      </c>
      <c r="N37" s="98" t="s">
        <v>370</v>
      </c>
      <c r="O37" s="212">
        <v>1.5</v>
      </c>
      <c r="P37" s="108">
        <v>5</v>
      </c>
      <c r="Q37" s="108">
        <v>2</v>
      </c>
      <c r="R37" s="108">
        <v>12</v>
      </c>
      <c r="S37" s="108"/>
      <c r="T37" s="108"/>
      <c r="U37" s="108"/>
      <c r="V37" s="108"/>
      <c r="W37" s="149"/>
    </row>
    <row r="38" spans="1:23" s="121" customFormat="1" ht="168">
      <c r="A38" s="178" t="s">
        <v>698</v>
      </c>
      <c r="B38" s="109">
        <v>34</v>
      </c>
      <c r="C38" s="92" t="s">
        <v>321</v>
      </c>
      <c r="D38" s="187">
        <v>2</v>
      </c>
      <c r="E38" s="93">
        <v>45825</v>
      </c>
      <c r="F38" s="94">
        <v>0.375</v>
      </c>
      <c r="G38" s="93">
        <v>45825</v>
      </c>
      <c r="H38" s="94">
        <v>0.6875</v>
      </c>
      <c r="I38" s="95">
        <f t="shared" si="0"/>
        <v>0.3125</v>
      </c>
      <c r="J38" s="105">
        <f t="shared" si="1"/>
        <v>0.625</v>
      </c>
      <c r="K38" s="96">
        <v>2</v>
      </c>
      <c r="L38" s="147">
        <v>306</v>
      </c>
      <c r="M38" s="97" t="s">
        <v>322</v>
      </c>
      <c r="N38" s="98" t="s">
        <v>700</v>
      </c>
      <c r="O38" s="212">
        <v>2</v>
      </c>
      <c r="P38" s="108">
        <v>3</v>
      </c>
      <c r="Q38" s="108">
        <v>1</v>
      </c>
      <c r="R38" s="108"/>
      <c r="S38" s="108"/>
      <c r="T38" s="108"/>
      <c r="U38" s="108"/>
      <c r="V38" s="108"/>
      <c r="W38" s="149"/>
    </row>
    <row r="39" spans="1:23" s="121" customFormat="1" ht="168">
      <c r="A39" s="178" t="s">
        <v>698</v>
      </c>
      <c r="B39" s="109">
        <v>35</v>
      </c>
      <c r="C39" s="92" t="s">
        <v>321</v>
      </c>
      <c r="D39" s="187">
        <v>2</v>
      </c>
      <c r="E39" s="93">
        <v>45852</v>
      </c>
      <c r="F39" s="94">
        <v>0.375</v>
      </c>
      <c r="G39" s="93">
        <v>45852</v>
      </c>
      <c r="H39" s="94">
        <v>0.68055555555555558</v>
      </c>
      <c r="I39" s="95">
        <f t="shared" si="0"/>
        <v>0.30555555555555558</v>
      </c>
      <c r="J39" s="105">
        <f t="shared" si="1"/>
        <v>0.61111111111111116</v>
      </c>
      <c r="K39" s="96" t="s">
        <v>371</v>
      </c>
      <c r="L39" s="147" t="s">
        <v>372</v>
      </c>
      <c r="M39" s="97" t="s">
        <v>322</v>
      </c>
      <c r="N39" s="98" t="s">
        <v>373</v>
      </c>
      <c r="O39" s="212">
        <f t="shared" ref="O39" si="3">D39</f>
        <v>2</v>
      </c>
      <c r="P39" s="108">
        <v>1</v>
      </c>
      <c r="Q39" s="108">
        <v>5</v>
      </c>
      <c r="R39" s="108" t="s">
        <v>71</v>
      </c>
      <c r="S39" s="108"/>
      <c r="T39" s="108" t="s">
        <v>71</v>
      </c>
      <c r="U39" s="108" t="s">
        <v>71</v>
      </c>
      <c r="V39" s="108"/>
      <c r="W39" s="149" t="s">
        <v>71</v>
      </c>
    </row>
    <row r="40" spans="1:23" s="121" customFormat="1" ht="144">
      <c r="A40" s="178" t="s">
        <v>698</v>
      </c>
      <c r="B40" s="109">
        <v>36</v>
      </c>
      <c r="C40" s="92" t="s">
        <v>321</v>
      </c>
      <c r="D40" s="187">
        <v>2</v>
      </c>
      <c r="E40" s="93">
        <v>45853</v>
      </c>
      <c r="F40" s="94">
        <v>0.375</v>
      </c>
      <c r="G40" s="93">
        <v>45853</v>
      </c>
      <c r="H40" s="94">
        <v>0.6875</v>
      </c>
      <c r="I40" s="95">
        <f t="shared" si="0"/>
        <v>0.3125</v>
      </c>
      <c r="J40" s="105">
        <f t="shared" si="1"/>
        <v>0.625</v>
      </c>
      <c r="K40" s="152" t="s">
        <v>374</v>
      </c>
      <c r="L40" s="147" t="s">
        <v>375</v>
      </c>
      <c r="M40" s="97" t="s">
        <v>322</v>
      </c>
      <c r="N40" s="98" t="s">
        <v>376</v>
      </c>
      <c r="O40" s="212">
        <v>1.5</v>
      </c>
      <c r="P40" s="108">
        <v>7</v>
      </c>
      <c r="Q40" s="108">
        <v>4</v>
      </c>
      <c r="R40" s="108">
        <v>3</v>
      </c>
      <c r="S40" s="108"/>
      <c r="T40" s="108"/>
      <c r="U40" s="108"/>
      <c r="V40" s="108"/>
      <c r="W40" s="149" t="s">
        <v>71</v>
      </c>
    </row>
    <row r="41" spans="1:23" s="121" customFormat="1" ht="26.25">
      <c r="A41" s="178" t="s">
        <v>698</v>
      </c>
      <c r="B41" s="109">
        <v>37</v>
      </c>
      <c r="C41" s="92" t="s">
        <v>321</v>
      </c>
      <c r="D41" s="187">
        <v>2</v>
      </c>
      <c r="E41" s="93">
        <v>45854</v>
      </c>
      <c r="F41" s="94">
        <v>0.375</v>
      </c>
      <c r="G41" s="93">
        <v>45854</v>
      </c>
      <c r="H41" s="94">
        <v>0.68055555555555558</v>
      </c>
      <c r="I41" s="95">
        <f t="shared" si="0"/>
        <v>0.30555555555555558</v>
      </c>
      <c r="J41" s="105">
        <f t="shared" si="1"/>
        <v>0.61111111111111116</v>
      </c>
      <c r="K41" s="96">
        <v>9</v>
      </c>
      <c r="L41" s="147">
        <v>204</v>
      </c>
      <c r="M41" s="97" t="s">
        <v>322</v>
      </c>
      <c r="N41" s="98" t="s">
        <v>377</v>
      </c>
      <c r="O41" s="212" t="s">
        <v>71</v>
      </c>
      <c r="P41" s="108">
        <v>7</v>
      </c>
      <c r="Q41" s="108" t="s">
        <v>71</v>
      </c>
      <c r="R41" s="108" t="s">
        <v>71</v>
      </c>
      <c r="S41" s="108"/>
      <c r="T41" s="108" t="s">
        <v>71</v>
      </c>
      <c r="U41" s="108" t="s">
        <v>71</v>
      </c>
      <c r="V41" s="108"/>
      <c r="W41" s="149" t="s">
        <v>71</v>
      </c>
    </row>
    <row r="42" spans="1:23" s="121" customFormat="1" ht="81">
      <c r="A42" s="178" t="s">
        <v>698</v>
      </c>
      <c r="B42" s="109">
        <v>38</v>
      </c>
      <c r="C42" s="92" t="s">
        <v>321</v>
      </c>
      <c r="D42" s="187">
        <v>2</v>
      </c>
      <c r="E42" s="93">
        <v>45855</v>
      </c>
      <c r="F42" s="94">
        <v>0.375</v>
      </c>
      <c r="G42" s="93">
        <v>45855</v>
      </c>
      <c r="H42" s="94">
        <v>0.6875</v>
      </c>
      <c r="I42" s="95">
        <f t="shared" si="0"/>
        <v>0.3125</v>
      </c>
      <c r="J42" s="105">
        <f t="shared" si="1"/>
        <v>0.625</v>
      </c>
      <c r="K42" s="96" t="s">
        <v>378</v>
      </c>
      <c r="L42" s="147" t="s">
        <v>379</v>
      </c>
      <c r="M42" s="97" t="s">
        <v>322</v>
      </c>
      <c r="N42" s="98" t="s">
        <v>380</v>
      </c>
      <c r="O42" s="212">
        <f t="shared" ref="O42" si="4">D42</f>
        <v>2</v>
      </c>
      <c r="P42" s="108">
        <v>3</v>
      </c>
      <c r="Q42" s="108" t="s">
        <v>71</v>
      </c>
      <c r="R42" s="108" t="s">
        <v>71</v>
      </c>
      <c r="S42" s="108"/>
      <c r="T42" s="108" t="s">
        <v>71</v>
      </c>
      <c r="U42" s="108" t="s">
        <v>71</v>
      </c>
      <c r="V42" s="108"/>
      <c r="W42" s="149" t="s">
        <v>71</v>
      </c>
    </row>
    <row r="43" spans="1:23" s="121" customFormat="1" ht="120">
      <c r="A43" s="178" t="s">
        <v>698</v>
      </c>
      <c r="B43" s="109">
        <v>39</v>
      </c>
      <c r="C43" s="92" t="s">
        <v>321</v>
      </c>
      <c r="D43" s="187">
        <v>2</v>
      </c>
      <c r="E43" s="93">
        <v>45856</v>
      </c>
      <c r="F43" s="94">
        <v>0.375</v>
      </c>
      <c r="G43" s="93">
        <v>45856</v>
      </c>
      <c r="H43" s="94">
        <v>0.68055555555555558</v>
      </c>
      <c r="I43" s="95">
        <f t="shared" si="0"/>
        <v>0.30555555555555558</v>
      </c>
      <c r="J43" s="105">
        <f t="shared" si="1"/>
        <v>0.61111111111111116</v>
      </c>
      <c r="K43" s="152" t="s">
        <v>381</v>
      </c>
      <c r="L43" s="147" t="s">
        <v>382</v>
      </c>
      <c r="M43" s="97" t="s">
        <v>322</v>
      </c>
      <c r="N43" s="98" t="s">
        <v>383</v>
      </c>
      <c r="O43" s="212">
        <v>2</v>
      </c>
      <c r="P43" s="108">
        <v>4</v>
      </c>
      <c r="Q43" s="108" t="s">
        <v>71</v>
      </c>
      <c r="R43" s="108"/>
      <c r="S43" s="108"/>
      <c r="T43" s="108"/>
      <c r="U43" s="108"/>
      <c r="V43" s="108"/>
      <c r="W43" s="149" t="s">
        <v>71</v>
      </c>
    </row>
    <row r="44" spans="1:23" s="121" customFormat="1" ht="120">
      <c r="A44" s="178" t="s">
        <v>698</v>
      </c>
      <c r="B44" s="109">
        <v>40</v>
      </c>
      <c r="C44" s="92" t="s">
        <v>321</v>
      </c>
      <c r="D44" s="187">
        <v>2</v>
      </c>
      <c r="E44" s="93">
        <v>45859</v>
      </c>
      <c r="F44" s="94">
        <v>0.375</v>
      </c>
      <c r="G44" s="93">
        <v>45859</v>
      </c>
      <c r="H44" s="94">
        <v>0.6875</v>
      </c>
      <c r="I44" s="95">
        <f t="shared" si="0"/>
        <v>0.3125</v>
      </c>
      <c r="J44" s="105">
        <f t="shared" si="1"/>
        <v>0.625</v>
      </c>
      <c r="K44" s="152" t="s">
        <v>384</v>
      </c>
      <c r="L44" s="147" t="s">
        <v>385</v>
      </c>
      <c r="M44" s="97" t="s">
        <v>322</v>
      </c>
      <c r="N44" s="98" t="s">
        <v>386</v>
      </c>
      <c r="O44" s="212">
        <v>2</v>
      </c>
      <c r="P44" s="108">
        <v>2</v>
      </c>
      <c r="Q44" s="108" t="s">
        <v>71</v>
      </c>
      <c r="R44" s="108"/>
      <c r="S44" s="108"/>
      <c r="T44" s="108"/>
      <c r="U44" s="108"/>
      <c r="V44" s="108"/>
      <c r="W44" s="149" t="s">
        <v>71</v>
      </c>
    </row>
    <row r="45" spans="1:23" s="121" customFormat="1" ht="96">
      <c r="A45" s="178" t="s">
        <v>698</v>
      </c>
      <c r="B45" s="109">
        <v>41</v>
      </c>
      <c r="C45" s="92" t="s">
        <v>321</v>
      </c>
      <c r="D45" s="187">
        <v>2</v>
      </c>
      <c r="E45" s="93">
        <v>45860</v>
      </c>
      <c r="F45" s="94">
        <v>0.375</v>
      </c>
      <c r="G45" s="93">
        <v>45860</v>
      </c>
      <c r="H45" s="94">
        <v>0.68055555555555558</v>
      </c>
      <c r="I45" s="95">
        <f t="shared" si="0"/>
        <v>0.30555555555555558</v>
      </c>
      <c r="J45" s="105">
        <f t="shared" si="1"/>
        <v>0.61111111111111116</v>
      </c>
      <c r="K45" s="152" t="s">
        <v>387</v>
      </c>
      <c r="L45" s="147" t="s">
        <v>388</v>
      </c>
      <c r="M45" s="97" t="s">
        <v>322</v>
      </c>
      <c r="N45" s="98" t="s">
        <v>389</v>
      </c>
      <c r="O45" s="212">
        <v>2</v>
      </c>
      <c r="P45" s="108" t="s">
        <v>71</v>
      </c>
      <c r="Q45" s="108">
        <v>2</v>
      </c>
      <c r="R45" s="108"/>
      <c r="S45" s="108">
        <v>1</v>
      </c>
      <c r="T45" s="108"/>
      <c r="U45" s="108"/>
      <c r="V45" s="108"/>
      <c r="W45" s="149" t="s">
        <v>71</v>
      </c>
    </row>
    <row r="46" spans="1:23" s="121" customFormat="1" ht="26.25">
      <c r="A46" s="178" t="s">
        <v>698</v>
      </c>
      <c r="B46" s="109">
        <v>42</v>
      </c>
      <c r="C46" s="92" t="s">
        <v>321</v>
      </c>
      <c r="D46" s="187">
        <v>1</v>
      </c>
      <c r="E46" s="93">
        <v>45881</v>
      </c>
      <c r="F46" s="94">
        <v>0.625</v>
      </c>
      <c r="G46" s="93">
        <v>45881</v>
      </c>
      <c r="H46" s="94">
        <v>0.64236111111111116</v>
      </c>
      <c r="I46" s="95">
        <f t="shared" si="0"/>
        <v>1.736111111111116E-2</v>
      </c>
      <c r="J46" s="105">
        <f t="shared" si="1"/>
        <v>1.736111111111116E-2</v>
      </c>
      <c r="K46" s="96">
        <v>7</v>
      </c>
      <c r="L46" s="147">
        <v>107</v>
      </c>
      <c r="M46" s="97" t="s">
        <v>322</v>
      </c>
      <c r="N46" s="98" t="s">
        <v>390</v>
      </c>
      <c r="O46" s="212" t="s">
        <v>71</v>
      </c>
      <c r="P46" s="108" t="s">
        <v>71</v>
      </c>
      <c r="Q46" s="108" t="s">
        <v>71</v>
      </c>
      <c r="R46" s="108" t="s">
        <v>71</v>
      </c>
      <c r="S46" s="108"/>
      <c r="T46" s="108" t="s">
        <v>71</v>
      </c>
      <c r="U46" s="108" t="s">
        <v>71</v>
      </c>
      <c r="V46" s="108"/>
      <c r="W46" s="149" t="s">
        <v>391</v>
      </c>
    </row>
    <row r="47" spans="1:23" s="121" customFormat="1" ht="81">
      <c r="A47" s="178" t="s">
        <v>698</v>
      </c>
      <c r="B47" s="109">
        <v>43</v>
      </c>
      <c r="C47" s="92" t="s">
        <v>321</v>
      </c>
      <c r="D47" s="187">
        <v>2</v>
      </c>
      <c r="E47" s="93">
        <v>45887</v>
      </c>
      <c r="F47" s="94">
        <v>0.375</v>
      </c>
      <c r="G47" s="93">
        <v>45887</v>
      </c>
      <c r="H47" s="94">
        <v>0.68055555555555558</v>
      </c>
      <c r="I47" s="95">
        <f t="shared" si="0"/>
        <v>0.30555555555555558</v>
      </c>
      <c r="J47" s="105">
        <f t="shared" si="1"/>
        <v>0.61111111111111116</v>
      </c>
      <c r="K47" s="96" t="s">
        <v>392</v>
      </c>
      <c r="L47" s="147" t="s">
        <v>393</v>
      </c>
      <c r="M47" s="97" t="s">
        <v>322</v>
      </c>
      <c r="N47" s="98" t="s">
        <v>394</v>
      </c>
      <c r="O47" s="212">
        <f t="shared" ref="O47:O50" si="5">D47</f>
        <v>2</v>
      </c>
      <c r="P47" s="108" t="s">
        <v>71</v>
      </c>
      <c r="Q47" s="108" t="s">
        <v>71</v>
      </c>
      <c r="R47" s="108" t="s">
        <v>71</v>
      </c>
      <c r="S47" s="108"/>
      <c r="T47" s="108" t="s">
        <v>71</v>
      </c>
      <c r="U47" s="108" t="s">
        <v>71</v>
      </c>
      <c r="V47" s="108"/>
      <c r="W47" s="149" t="s">
        <v>71</v>
      </c>
    </row>
    <row r="48" spans="1:23" s="121" customFormat="1" ht="26.25">
      <c r="A48" s="178" t="s">
        <v>698</v>
      </c>
      <c r="B48" s="109">
        <v>44</v>
      </c>
      <c r="C48" s="92" t="s">
        <v>321</v>
      </c>
      <c r="D48" s="187">
        <v>2</v>
      </c>
      <c r="E48" s="93">
        <v>45889</v>
      </c>
      <c r="F48" s="94">
        <v>0.375</v>
      </c>
      <c r="G48" s="93">
        <v>45889</v>
      </c>
      <c r="H48" s="94">
        <v>0.6875</v>
      </c>
      <c r="I48" s="95">
        <f t="shared" si="0"/>
        <v>0.3125</v>
      </c>
      <c r="J48" s="105">
        <f t="shared" si="1"/>
        <v>0.625</v>
      </c>
      <c r="K48" s="96">
        <v>5</v>
      </c>
      <c r="L48" s="147" t="s">
        <v>395</v>
      </c>
      <c r="M48" s="97" t="s">
        <v>322</v>
      </c>
      <c r="N48" s="98" t="s">
        <v>396</v>
      </c>
      <c r="O48" s="212">
        <f t="shared" si="5"/>
        <v>2</v>
      </c>
      <c r="P48" s="108" t="s">
        <v>71</v>
      </c>
      <c r="Q48" s="108" t="s">
        <v>71</v>
      </c>
      <c r="R48" s="108" t="s">
        <v>71</v>
      </c>
      <c r="S48" s="108"/>
      <c r="T48" s="108" t="s">
        <v>71</v>
      </c>
      <c r="U48" s="108" t="s">
        <v>71</v>
      </c>
      <c r="V48" s="108"/>
      <c r="W48" s="149" t="s">
        <v>397</v>
      </c>
    </row>
    <row r="49" spans="1:23" s="121" customFormat="1" ht="81">
      <c r="A49" s="178" t="s">
        <v>698</v>
      </c>
      <c r="B49" s="109">
        <v>45</v>
      </c>
      <c r="C49" s="92" t="s">
        <v>321</v>
      </c>
      <c r="D49" s="187">
        <v>2</v>
      </c>
      <c r="E49" s="93">
        <v>45890</v>
      </c>
      <c r="F49" s="94">
        <v>0.375</v>
      </c>
      <c r="G49" s="93">
        <v>45890</v>
      </c>
      <c r="H49" s="94">
        <v>0.6875</v>
      </c>
      <c r="I49" s="95">
        <f t="shared" si="0"/>
        <v>0.3125</v>
      </c>
      <c r="J49" s="105">
        <f t="shared" si="1"/>
        <v>0.625</v>
      </c>
      <c r="K49" s="96" t="s">
        <v>291</v>
      </c>
      <c r="L49" s="147" t="s">
        <v>398</v>
      </c>
      <c r="M49" s="97" t="s">
        <v>322</v>
      </c>
      <c r="N49" s="98" t="s">
        <v>399</v>
      </c>
      <c r="O49" s="212">
        <f t="shared" si="5"/>
        <v>2</v>
      </c>
      <c r="P49" s="108" t="s">
        <v>71</v>
      </c>
      <c r="Q49" s="108">
        <v>6</v>
      </c>
      <c r="R49" s="108" t="s">
        <v>71</v>
      </c>
      <c r="S49" s="108"/>
      <c r="T49" s="108" t="s">
        <v>71</v>
      </c>
      <c r="U49" s="108" t="s">
        <v>71</v>
      </c>
      <c r="V49" s="108"/>
      <c r="W49" s="149" t="s">
        <v>71</v>
      </c>
    </row>
    <row r="50" spans="1:23" s="121" customFormat="1" ht="26.25">
      <c r="A50" s="178" t="s">
        <v>698</v>
      </c>
      <c r="B50" s="109">
        <v>46</v>
      </c>
      <c r="C50" s="92" t="s">
        <v>321</v>
      </c>
      <c r="D50" s="187">
        <v>2</v>
      </c>
      <c r="E50" s="93">
        <v>45891</v>
      </c>
      <c r="F50" s="94">
        <v>0.375</v>
      </c>
      <c r="G50" s="93">
        <v>45891</v>
      </c>
      <c r="H50" s="94">
        <v>0.69444444444444442</v>
      </c>
      <c r="I50" s="95">
        <f t="shared" si="0"/>
        <v>0.31944444444444442</v>
      </c>
      <c r="J50" s="105">
        <f t="shared" si="1"/>
        <v>0.63888888888888884</v>
      </c>
      <c r="K50" s="96">
        <v>5</v>
      </c>
      <c r="L50" s="147" t="s">
        <v>395</v>
      </c>
      <c r="M50" s="97" t="s">
        <v>322</v>
      </c>
      <c r="N50" s="98" t="s">
        <v>400</v>
      </c>
      <c r="O50" s="212">
        <f t="shared" si="5"/>
        <v>2</v>
      </c>
      <c r="P50" s="108" t="s">
        <v>71</v>
      </c>
      <c r="Q50" s="108" t="s">
        <v>71</v>
      </c>
      <c r="R50" s="108" t="s">
        <v>71</v>
      </c>
      <c r="S50" s="108"/>
      <c r="T50" s="108" t="s">
        <v>71</v>
      </c>
      <c r="U50" s="108" t="s">
        <v>71</v>
      </c>
      <c r="V50" s="108"/>
      <c r="W50" s="149" t="s">
        <v>71</v>
      </c>
    </row>
    <row r="51" spans="1:23" s="121" customFormat="1" ht="96">
      <c r="A51" s="178" t="s">
        <v>698</v>
      </c>
      <c r="B51" s="109">
        <v>47</v>
      </c>
      <c r="C51" s="92" t="s">
        <v>321</v>
      </c>
      <c r="D51" s="187">
        <v>2</v>
      </c>
      <c r="E51" s="93">
        <v>45895</v>
      </c>
      <c r="F51" s="94">
        <v>0.375</v>
      </c>
      <c r="G51" s="93">
        <v>45895</v>
      </c>
      <c r="H51" s="94">
        <v>0.6875</v>
      </c>
      <c r="I51" s="95">
        <f t="shared" si="0"/>
        <v>0.3125</v>
      </c>
      <c r="J51" s="105">
        <f t="shared" si="1"/>
        <v>0.625</v>
      </c>
      <c r="K51" s="96" t="s">
        <v>401</v>
      </c>
      <c r="L51" s="147" t="s">
        <v>402</v>
      </c>
      <c r="M51" s="97" t="s">
        <v>322</v>
      </c>
      <c r="N51" s="98" t="s">
        <v>403</v>
      </c>
      <c r="O51" s="212">
        <v>2</v>
      </c>
      <c r="P51" s="108" t="s">
        <v>71</v>
      </c>
      <c r="Q51" s="108">
        <v>2</v>
      </c>
      <c r="R51" s="108" t="s">
        <v>71</v>
      </c>
      <c r="S51" s="108"/>
      <c r="T51" s="108" t="s">
        <v>71</v>
      </c>
      <c r="U51" s="108" t="s">
        <v>71</v>
      </c>
      <c r="V51" s="108"/>
      <c r="W51" s="149" t="s">
        <v>404</v>
      </c>
    </row>
    <row r="52" spans="1:23" s="121" customFormat="1" ht="96">
      <c r="A52" s="178" t="s">
        <v>698</v>
      </c>
      <c r="B52" s="109">
        <v>48</v>
      </c>
      <c r="C52" s="92" t="s">
        <v>321</v>
      </c>
      <c r="D52" s="187">
        <v>2</v>
      </c>
      <c r="E52" s="93">
        <v>45896</v>
      </c>
      <c r="F52" s="94">
        <v>0.375</v>
      </c>
      <c r="G52" s="93">
        <v>45896</v>
      </c>
      <c r="H52" s="94">
        <v>0.6875</v>
      </c>
      <c r="I52" s="95">
        <f t="shared" si="0"/>
        <v>0.3125</v>
      </c>
      <c r="J52" s="105">
        <f t="shared" si="1"/>
        <v>0.625</v>
      </c>
      <c r="K52" s="147">
        <v>102</v>
      </c>
      <c r="L52" s="147">
        <v>506</v>
      </c>
      <c r="M52" s="97" t="s">
        <v>322</v>
      </c>
      <c r="N52" s="98" t="s">
        <v>405</v>
      </c>
      <c r="O52" s="212">
        <v>2</v>
      </c>
      <c r="P52" s="108">
        <v>3</v>
      </c>
      <c r="Q52" s="108">
        <v>2</v>
      </c>
      <c r="R52" s="108">
        <v>12</v>
      </c>
      <c r="S52" s="108"/>
      <c r="T52" s="108"/>
      <c r="U52" s="108"/>
      <c r="V52" s="108"/>
      <c r="W52" s="149" t="s">
        <v>71</v>
      </c>
    </row>
    <row r="53" spans="1:23" s="121" customFormat="1" ht="144">
      <c r="A53" s="178" t="s">
        <v>698</v>
      </c>
      <c r="B53" s="109">
        <v>49</v>
      </c>
      <c r="C53" s="92" t="s">
        <v>321</v>
      </c>
      <c r="D53" s="187">
        <v>2</v>
      </c>
      <c r="E53" s="93">
        <v>45897</v>
      </c>
      <c r="F53" s="94">
        <v>0.375</v>
      </c>
      <c r="G53" s="93">
        <v>45897</v>
      </c>
      <c r="H53" s="94">
        <v>0.6875</v>
      </c>
      <c r="I53" s="95">
        <f t="shared" si="0"/>
        <v>0.3125</v>
      </c>
      <c r="J53" s="105">
        <f t="shared" si="1"/>
        <v>0.625</v>
      </c>
      <c r="K53" s="152" t="s">
        <v>406</v>
      </c>
      <c r="L53" s="152" t="s">
        <v>407</v>
      </c>
      <c r="M53" s="97" t="s">
        <v>322</v>
      </c>
      <c r="N53" s="98" t="s">
        <v>408</v>
      </c>
      <c r="O53" s="212">
        <v>2</v>
      </c>
      <c r="P53" s="108">
        <v>4</v>
      </c>
      <c r="Q53" s="108">
        <v>4</v>
      </c>
      <c r="R53" s="108"/>
      <c r="S53" s="108"/>
      <c r="T53" s="108"/>
      <c r="U53" s="108"/>
      <c r="V53" s="108"/>
      <c r="W53" s="149" t="s">
        <v>71</v>
      </c>
    </row>
    <row r="54" spans="1:23" s="121" customFormat="1" ht="144">
      <c r="A54" s="178" t="s">
        <v>698</v>
      </c>
      <c r="B54" s="109">
        <v>50</v>
      </c>
      <c r="C54" s="92" t="s">
        <v>321</v>
      </c>
      <c r="D54" s="187">
        <v>2</v>
      </c>
      <c r="E54" s="93">
        <v>45898</v>
      </c>
      <c r="F54" s="94">
        <v>0.375</v>
      </c>
      <c r="G54" s="93">
        <v>45898</v>
      </c>
      <c r="H54" s="94">
        <v>0.6875</v>
      </c>
      <c r="I54" s="95">
        <f t="shared" si="0"/>
        <v>0.3125</v>
      </c>
      <c r="J54" s="105">
        <f t="shared" si="1"/>
        <v>0.625</v>
      </c>
      <c r="K54" s="152" t="s">
        <v>409</v>
      </c>
      <c r="L54" s="152" t="s">
        <v>410</v>
      </c>
      <c r="M54" s="97" t="s">
        <v>322</v>
      </c>
      <c r="N54" s="98" t="s">
        <v>411</v>
      </c>
      <c r="O54" s="212">
        <v>2</v>
      </c>
      <c r="P54" s="108">
        <v>3</v>
      </c>
      <c r="Q54" s="108">
        <v>4</v>
      </c>
      <c r="R54" s="108"/>
      <c r="S54" s="108"/>
      <c r="T54" s="108"/>
      <c r="U54" s="108"/>
      <c r="V54" s="108"/>
      <c r="W54" s="149" t="s">
        <v>71</v>
      </c>
    </row>
    <row r="55" spans="1:23" s="121" customFormat="1" ht="144">
      <c r="A55" s="178" t="s">
        <v>698</v>
      </c>
      <c r="B55" s="109">
        <v>51</v>
      </c>
      <c r="C55" s="92" t="s">
        <v>321</v>
      </c>
      <c r="D55" s="187">
        <v>2</v>
      </c>
      <c r="E55" s="93">
        <v>45901</v>
      </c>
      <c r="F55" s="94">
        <v>0.375</v>
      </c>
      <c r="G55" s="93">
        <v>45901</v>
      </c>
      <c r="H55" s="94">
        <v>0.6875</v>
      </c>
      <c r="I55" s="95">
        <f t="shared" si="0"/>
        <v>0.3125</v>
      </c>
      <c r="J55" s="105">
        <f t="shared" si="1"/>
        <v>0.625</v>
      </c>
      <c r="K55" s="152" t="s">
        <v>412</v>
      </c>
      <c r="L55" s="152" t="s">
        <v>413</v>
      </c>
      <c r="M55" s="97" t="s">
        <v>322</v>
      </c>
      <c r="N55" s="98" t="s">
        <v>414</v>
      </c>
      <c r="O55" s="212">
        <v>2</v>
      </c>
      <c r="P55" s="108">
        <v>4</v>
      </c>
      <c r="Q55" s="108">
        <v>2</v>
      </c>
      <c r="R55" s="108">
        <v>16</v>
      </c>
      <c r="S55" s="108"/>
      <c r="T55" s="108"/>
      <c r="U55" s="108"/>
      <c r="V55" s="108"/>
      <c r="W55" s="149" t="s">
        <v>71</v>
      </c>
    </row>
    <row r="56" spans="1:23" s="121" customFormat="1" ht="96">
      <c r="A56" s="178" t="s">
        <v>698</v>
      </c>
      <c r="B56" s="109">
        <v>52</v>
      </c>
      <c r="C56" s="92" t="s">
        <v>321</v>
      </c>
      <c r="D56" s="187">
        <v>2</v>
      </c>
      <c r="E56" s="93">
        <v>45902</v>
      </c>
      <c r="F56" s="94">
        <v>0.375</v>
      </c>
      <c r="G56" s="93">
        <v>45902</v>
      </c>
      <c r="H56" s="94">
        <v>0.6875</v>
      </c>
      <c r="I56" s="95">
        <f t="shared" si="0"/>
        <v>0.3125</v>
      </c>
      <c r="J56" s="105">
        <f t="shared" si="1"/>
        <v>0.625</v>
      </c>
      <c r="K56" s="147" t="s">
        <v>415</v>
      </c>
      <c r="L56" s="147" t="s">
        <v>416</v>
      </c>
      <c r="M56" s="97" t="s">
        <v>322</v>
      </c>
      <c r="N56" s="98" t="s">
        <v>417</v>
      </c>
      <c r="O56" s="212">
        <v>2</v>
      </c>
      <c r="P56" s="108">
        <v>2</v>
      </c>
      <c r="Q56" s="108">
        <v>2</v>
      </c>
      <c r="R56" s="108"/>
      <c r="S56" s="108"/>
      <c r="T56" s="108"/>
      <c r="U56" s="108"/>
      <c r="V56" s="108"/>
      <c r="W56" s="149" t="s">
        <v>71</v>
      </c>
    </row>
    <row r="57" spans="1:23" s="121" customFormat="1" ht="192">
      <c r="A57" s="178" t="s">
        <v>698</v>
      </c>
      <c r="B57" s="109">
        <v>53</v>
      </c>
      <c r="C57" s="92" t="s">
        <v>321</v>
      </c>
      <c r="D57" s="187">
        <v>2</v>
      </c>
      <c r="E57" s="93">
        <v>45903</v>
      </c>
      <c r="F57" s="94">
        <v>0.375</v>
      </c>
      <c r="G57" s="93">
        <v>45903</v>
      </c>
      <c r="H57" s="94">
        <v>0.6875</v>
      </c>
      <c r="I57" s="95">
        <f t="shared" si="0"/>
        <v>0.3125</v>
      </c>
      <c r="J57" s="105">
        <f t="shared" si="1"/>
        <v>0.625</v>
      </c>
      <c r="K57" s="147" t="s">
        <v>418</v>
      </c>
      <c r="L57" s="147" t="s">
        <v>419</v>
      </c>
      <c r="M57" s="97" t="s">
        <v>322</v>
      </c>
      <c r="N57" s="98" t="s">
        <v>420</v>
      </c>
      <c r="O57" s="212">
        <v>2</v>
      </c>
      <c r="P57" s="108">
        <v>3</v>
      </c>
      <c r="Q57" s="108">
        <v>4</v>
      </c>
      <c r="R57" s="108"/>
      <c r="S57" s="108"/>
      <c r="T57" s="108"/>
      <c r="U57" s="108"/>
      <c r="V57" s="108"/>
      <c r="W57" s="149" t="s">
        <v>71</v>
      </c>
    </row>
    <row r="58" spans="1:23" s="121" customFormat="1" ht="120">
      <c r="A58" s="178" t="s">
        <v>698</v>
      </c>
      <c r="B58" s="109">
        <v>54</v>
      </c>
      <c r="C58" s="92" t="s">
        <v>321</v>
      </c>
      <c r="D58" s="187">
        <v>2</v>
      </c>
      <c r="E58" s="93">
        <v>45904</v>
      </c>
      <c r="F58" s="94">
        <v>0.375</v>
      </c>
      <c r="G58" s="93">
        <v>45904</v>
      </c>
      <c r="H58" s="94">
        <v>0.68055555555555558</v>
      </c>
      <c r="I58" s="95">
        <f t="shared" si="0"/>
        <v>0.30555555555555558</v>
      </c>
      <c r="J58" s="105">
        <f t="shared" si="1"/>
        <v>0.61111111111111116</v>
      </c>
      <c r="K58" s="152" t="s">
        <v>421</v>
      </c>
      <c r="L58" s="147" t="s">
        <v>422</v>
      </c>
      <c r="M58" s="97" t="s">
        <v>322</v>
      </c>
      <c r="N58" s="98" t="s">
        <v>423</v>
      </c>
      <c r="O58" s="212">
        <v>2</v>
      </c>
      <c r="P58" s="108" t="s">
        <v>71</v>
      </c>
      <c r="Q58" s="108" t="s">
        <v>71</v>
      </c>
      <c r="R58" s="108"/>
      <c r="S58" s="108"/>
      <c r="T58" s="108"/>
      <c r="U58" s="108"/>
      <c r="V58" s="108"/>
      <c r="W58" s="149" t="s">
        <v>71</v>
      </c>
    </row>
    <row r="59" spans="1:23" s="121" customFormat="1" ht="26.25">
      <c r="A59" s="178" t="s">
        <v>698</v>
      </c>
      <c r="B59" s="109">
        <v>55</v>
      </c>
      <c r="C59" s="92" t="s">
        <v>321</v>
      </c>
      <c r="D59" s="187">
        <v>1</v>
      </c>
      <c r="E59" s="93">
        <v>45909</v>
      </c>
      <c r="F59" s="94">
        <v>0.54166666666666663</v>
      </c>
      <c r="G59" s="93">
        <v>45909</v>
      </c>
      <c r="H59" s="94">
        <v>0.67361111111111116</v>
      </c>
      <c r="I59" s="95">
        <f t="shared" si="0"/>
        <v>0.13194444444444453</v>
      </c>
      <c r="J59" s="105">
        <f t="shared" si="1"/>
        <v>0.13194444444444453</v>
      </c>
      <c r="K59" s="96">
        <v>9</v>
      </c>
      <c r="L59" s="147">
        <v>506</v>
      </c>
      <c r="M59" s="97" t="s">
        <v>322</v>
      </c>
      <c r="N59" s="98" t="s">
        <v>360</v>
      </c>
      <c r="O59" s="212">
        <v>0</v>
      </c>
      <c r="P59" s="108">
        <v>7</v>
      </c>
      <c r="Q59" s="108" t="s">
        <v>71</v>
      </c>
      <c r="R59" s="108" t="s">
        <v>71</v>
      </c>
      <c r="S59" s="108"/>
      <c r="T59" s="108" t="s">
        <v>71</v>
      </c>
      <c r="U59" s="108" t="s">
        <v>71</v>
      </c>
      <c r="V59" s="108"/>
      <c r="W59" s="149" t="s">
        <v>71</v>
      </c>
    </row>
    <row r="60" spans="1:23" s="121" customFormat="1" ht="26.25">
      <c r="A60" s="178" t="s">
        <v>698</v>
      </c>
      <c r="B60" s="109">
        <v>56</v>
      </c>
      <c r="C60" s="92" t="s">
        <v>321</v>
      </c>
      <c r="D60" s="187">
        <v>1</v>
      </c>
      <c r="E60" s="93">
        <v>45910</v>
      </c>
      <c r="F60" s="94">
        <v>0.58333333333333337</v>
      </c>
      <c r="G60" s="93">
        <v>45910</v>
      </c>
      <c r="H60" s="94">
        <v>0.68055555555555558</v>
      </c>
      <c r="I60" s="95">
        <f t="shared" si="0"/>
        <v>9.722222222222221E-2</v>
      </c>
      <c r="J60" s="105">
        <f t="shared" si="1"/>
        <v>9.722222222222221E-2</v>
      </c>
      <c r="K60" s="96">
        <v>5</v>
      </c>
      <c r="L60" s="147">
        <v>504</v>
      </c>
      <c r="M60" s="97" t="s">
        <v>322</v>
      </c>
      <c r="N60" s="98" t="s">
        <v>424</v>
      </c>
      <c r="O60" s="212">
        <v>0</v>
      </c>
      <c r="P60" s="108">
        <v>5</v>
      </c>
      <c r="Q60" s="108" t="s">
        <v>71</v>
      </c>
      <c r="R60" s="108" t="s">
        <v>71</v>
      </c>
      <c r="S60" s="108"/>
      <c r="T60" s="108" t="s">
        <v>71</v>
      </c>
      <c r="U60" s="108" t="s">
        <v>71</v>
      </c>
      <c r="V60" s="108"/>
      <c r="W60" s="149" t="s">
        <v>71</v>
      </c>
    </row>
    <row r="61" spans="1:23" s="121" customFormat="1" ht="81">
      <c r="A61" s="178" t="s">
        <v>698</v>
      </c>
      <c r="B61" s="109">
        <v>57</v>
      </c>
      <c r="C61" s="92" t="s">
        <v>321</v>
      </c>
      <c r="D61" s="187">
        <v>2</v>
      </c>
      <c r="E61" s="93">
        <v>45912</v>
      </c>
      <c r="F61" s="94">
        <v>0.375</v>
      </c>
      <c r="G61" s="93">
        <v>45912</v>
      </c>
      <c r="H61" s="94">
        <v>0.6875</v>
      </c>
      <c r="I61" s="95">
        <f t="shared" si="0"/>
        <v>0.3125</v>
      </c>
      <c r="J61" s="105">
        <f t="shared" si="1"/>
        <v>0.625</v>
      </c>
      <c r="K61" s="96" t="s">
        <v>425</v>
      </c>
      <c r="L61" s="147" t="s">
        <v>426</v>
      </c>
      <c r="M61" s="97" t="s">
        <v>322</v>
      </c>
      <c r="N61" s="98" t="s">
        <v>427</v>
      </c>
      <c r="O61" s="212">
        <f t="shared" ref="O61:O63" si="6">D61</f>
        <v>2</v>
      </c>
      <c r="P61" s="108" t="s">
        <v>71</v>
      </c>
      <c r="Q61" s="108" t="s">
        <v>71</v>
      </c>
      <c r="R61" s="108" t="s">
        <v>71</v>
      </c>
      <c r="S61" s="108"/>
      <c r="T61" s="108" t="s">
        <v>71</v>
      </c>
      <c r="U61" s="108" t="s">
        <v>71</v>
      </c>
      <c r="V61" s="108"/>
      <c r="W61" s="149" t="s">
        <v>71</v>
      </c>
    </row>
    <row r="62" spans="1:23" s="121" customFormat="1" ht="81">
      <c r="A62" s="178" t="s">
        <v>698</v>
      </c>
      <c r="B62" s="109">
        <v>58</v>
      </c>
      <c r="C62" s="92" t="s">
        <v>321</v>
      </c>
      <c r="D62" s="187">
        <v>1</v>
      </c>
      <c r="E62" s="93">
        <v>45915</v>
      </c>
      <c r="F62" s="94">
        <v>0.375</v>
      </c>
      <c r="G62" s="93">
        <v>45915</v>
      </c>
      <c r="H62" s="94">
        <v>0.6875</v>
      </c>
      <c r="I62" s="95">
        <f t="shared" si="0"/>
        <v>0.3125</v>
      </c>
      <c r="J62" s="105">
        <f t="shared" si="1"/>
        <v>0.3125</v>
      </c>
      <c r="K62" s="96" t="s">
        <v>425</v>
      </c>
      <c r="L62" s="147" t="s">
        <v>426</v>
      </c>
      <c r="M62" s="97" t="s">
        <v>322</v>
      </c>
      <c r="N62" s="98" t="s">
        <v>428</v>
      </c>
      <c r="O62" s="212">
        <f t="shared" si="6"/>
        <v>1</v>
      </c>
      <c r="P62" s="108" t="s">
        <v>71</v>
      </c>
      <c r="Q62" s="108">
        <v>1</v>
      </c>
      <c r="R62" s="108" t="s">
        <v>71</v>
      </c>
      <c r="S62" s="108"/>
      <c r="T62" s="108" t="s">
        <v>71</v>
      </c>
      <c r="U62" s="108" t="s">
        <v>71</v>
      </c>
      <c r="V62" s="108"/>
      <c r="W62" s="149" t="s">
        <v>71</v>
      </c>
    </row>
    <row r="63" spans="1:23" s="121" customFormat="1" ht="26.25">
      <c r="A63" s="178" t="s">
        <v>698</v>
      </c>
      <c r="B63" s="109">
        <v>59</v>
      </c>
      <c r="C63" s="92" t="s">
        <v>321</v>
      </c>
      <c r="D63" s="187">
        <v>0</v>
      </c>
      <c r="E63" s="93">
        <v>45916</v>
      </c>
      <c r="F63" s="94">
        <v>0.375</v>
      </c>
      <c r="G63" s="93">
        <v>45916</v>
      </c>
      <c r="H63" s="94">
        <v>0.69097222222222221</v>
      </c>
      <c r="I63" s="95">
        <f t="shared" si="0"/>
        <v>0.31597222222222221</v>
      </c>
      <c r="J63" s="105">
        <f t="shared" si="1"/>
        <v>0</v>
      </c>
      <c r="K63" s="96">
        <v>102</v>
      </c>
      <c r="L63" s="147" t="s">
        <v>429</v>
      </c>
      <c r="M63" s="97" t="s">
        <v>322</v>
      </c>
      <c r="N63" s="98" t="s">
        <v>430</v>
      </c>
      <c r="O63" s="212">
        <f t="shared" si="6"/>
        <v>0</v>
      </c>
      <c r="P63" s="108" t="s">
        <v>71</v>
      </c>
      <c r="Q63" s="108" t="s">
        <v>71</v>
      </c>
      <c r="R63" s="108" t="s">
        <v>71</v>
      </c>
      <c r="S63" s="108"/>
      <c r="T63" s="108" t="s">
        <v>71</v>
      </c>
      <c r="U63" s="108" t="s">
        <v>71</v>
      </c>
      <c r="V63" s="108"/>
      <c r="W63" s="149" t="s">
        <v>431</v>
      </c>
    </row>
    <row r="64" spans="1:23" s="121" customFormat="1" ht="26.25">
      <c r="A64" s="178" t="s">
        <v>698</v>
      </c>
      <c r="B64" s="109">
        <v>60</v>
      </c>
      <c r="C64" s="92" t="s">
        <v>321</v>
      </c>
      <c r="D64" s="187">
        <v>0</v>
      </c>
      <c r="E64" s="93">
        <v>45917</v>
      </c>
      <c r="F64" s="94">
        <v>0.375</v>
      </c>
      <c r="G64" s="93">
        <v>45917</v>
      </c>
      <c r="H64" s="94">
        <v>0.6875</v>
      </c>
      <c r="I64" s="95">
        <f t="shared" si="0"/>
        <v>0.3125</v>
      </c>
      <c r="J64" s="105">
        <f t="shared" si="1"/>
        <v>0</v>
      </c>
      <c r="K64" s="96">
        <v>102</v>
      </c>
      <c r="L64" s="147" t="s">
        <v>429</v>
      </c>
      <c r="M64" s="97" t="s">
        <v>322</v>
      </c>
      <c r="N64" s="98" t="s">
        <v>430</v>
      </c>
      <c r="O64" s="212" t="s">
        <v>71</v>
      </c>
      <c r="P64" s="108" t="s">
        <v>71</v>
      </c>
      <c r="Q64" s="108" t="s">
        <v>71</v>
      </c>
      <c r="R64" s="108" t="s">
        <v>71</v>
      </c>
      <c r="S64" s="108"/>
      <c r="T64" s="108"/>
      <c r="U64" s="108"/>
      <c r="V64" s="108"/>
      <c r="W64" s="149" t="s">
        <v>431</v>
      </c>
    </row>
    <row r="65" spans="1:23" s="121" customFormat="1" ht="26.25">
      <c r="A65" s="178" t="s">
        <v>698</v>
      </c>
      <c r="B65" s="109">
        <v>61</v>
      </c>
      <c r="C65" s="92" t="s">
        <v>321</v>
      </c>
      <c r="D65" s="187">
        <v>0</v>
      </c>
      <c r="E65" s="93">
        <v>45918</v>
      </c>
      <c r="F65" s="94">
        <v>0.375</v>
      </c>
      <c r="G65" s="93">
        <v>45918</v>
      </c>
      <c r="H65" s="94">
        <v>0.68055555555555558</v>
      </c>
      <c r="I65" s="95">
        <f t="shared" si="0"/>
        <v>0.30555555555555558</v>
      </c>
      <c r="J65" s="105">
        <f t="shared" si="1"/>
        <v>0</v>
      </c>
      <c r="K65" s="96">
        <v>102</v>
      </c>
      <c r="L65" s="147" t="s">
        <v>429</v>
      </c>
      <c r="M65" s="97" t="s">
        <v>322</v>
      </c>
      <c r="N65" s="98" t="s">
        <v>432</v>
      </c>
      <c r="O65" s="212" t="s">
        <v>71</v>
      </c>
      <c r="P65" s="108" t="s">
        <v>71</v>
      </c>
      <c r="Q65" s="108" t="s">
        <v>71</v>
      </c>
      <c r="R65" s="108" t="s">
        <v>71</v>
      </c>
      <c r="S65" s="108"/>
      <c r="T65" s="108" t="s">
        <v>71</v>
      </c>
      <c r="U65" s="108" t="s">
        <v>71</v>
      </c>
      <c r="V65" s="108"/>
      <c r="W65" s="149" t="s">
        <v>431</v>
      </c>
    </row>
    <row r="66" spans="1:23" s="121" customFormat="1" ht="26.25">
      <c r="A66" s="178" t="s">
        <v>698</v>
      </c>
      <c r="B66" s="109">
        <v>62</v>
      </c>
      <c r="C66" s="92" t="s">
        <v>321</v>
      </c>
      <c r="D66" s="187">
        <v>1</v>
      </c>
      <c r="E66" s="93">
        <v>45923</v>
      </c>
      <c r="F66" s="94">
        <v>0.375</v>
      </c>
      <c r="G66" s="93">
        <v>45923</v>
      </c>
      <c r="H66" s="94">
        <v>0.6875</v>
      </c>
      <c r="I66" s="95">
        <f t="shared" si="0"/>
        <v>0.3125</v>
      </c>
      <c r="J66" s="105">
        <f t="shared" si="1"/>
        <v>0.3125</v>
      </c>
      <c r="K66" s="96" t="s">
        <v>433</v>
      </c>
      <c r="L66" s="147" t="s">
        <v>434</v>
      </c>
      <c r="M66" s="97" t="s">
        <v>322</v>
      </c>
      <c r="N66" s="98" t="s">
        <v>435</v>
      </c>
      <c r="O66" s="212">
        <f t="shared" ref="O66" si="7">D66</f>
        <v>1</v>
      </c>
      <c r="P66" s="108" t="s">
        <v>71</v>
      </c>
      <c r="Q66" s="108" t="s">
        <v>71</v>
      </c>
      <c r="R66" s="108" t="s">
        <v>71</v>
      </c>
      <c r="S66" s="108"/>
      <c r="T66" s="108" t="s">
        <v>71</v>
      </c>
      <c r="U66" s="108" t="s">
        <v>71</v>
      </c>
      <c r="V66" s="108"/>
      <c r="W66" s="149" t="s">
        <v>71</v>
      </c>
    </row>
    <row r="67" spans="1:23" s="121" customFormat="1" ht="26.25">
      <c r="A67" s="178" t="s">
        <v>698</v>
      </c>
      <c r="B67" s="109">
        <v>63</v>
      </c>
      <c r="C67" s="92" t="s">
        <v>321</v>
      </c>
      <c r="D67" s="187">
        <v>2</v>
      </c>
      <c r="E67" s="93">
        <v>45930</v>
      </c>
      <c r="F67" s="94">
        <v>0.375</v>
      </c>
      <c r="G67" s="93">
        <v>45930</v>
      </c>
      <c r="H67" s="94">
        <v>0.66666666666666663</v>
      </c>
      <c r="I67" s="95">
        <f t="shared" si="0"/>
        <v>0.29166666666666663</v>
      </c>
      <c r="J67" s="105">
        <f t="shared" si="1"/>
        <v>0.58333333333333326</v>
      </c>
      <c r="K67" s="96" t="s">
        <v>433</v>
      </c>
      <c r="L67" s="147" t="s">
        <v>434</v>
      </c>
      <c r="M67" s="97" t="s">
        <v>322</v>
      </c>
      <c r="N67" s="98" t="s">
        <v>436</v>
      </c>
      <c r="O67" s="212">
        <v>2</v>
      </c>
      <c r="P67" s="108" t="s">
        <v>71</v>
      </c>
      <c r="Q67" s="108" t="s">
        <v>71</v>
      </c>
      <c r="R67" s="108"/>
      <c r="S67" s="108"/>
      <c r="T67" s="108"/>
      <c r="U67" s="108"/>
      <c r="V67" s="108"/>
      <c r="W67" s="149" t="s">
        <v>71</v>
      </c>
    </row>
    <row r="68" spans="1:23" s="121" customFormat="1" ht="72">
      <c r="A68" s="178" t="s">
        <v>698</v>
      </c>
      <c r="B68" s="109">
        <v>64</v>
      </c>
      <c r="C68" s="92" t="s">
        <v>321</v>
      </c>
      <c r="D68" s="187">
        <v>2</v>
      </c>
      <c r="E68" s="93">
        <v>45943</v>
      </c>
      <c r="F68" s="94">
        <v>0.375</v>
      </c>
      <c r="G68" s="93">
        <v>45943</v>
      </c>
      <c r="H68" s="94">
        <v>0.6875</v>
      </c>
      <c r="I68" s="95">
        <f t="shared" si="0"/>
        <v>0.3125</v>
      </c>
      <c r="J68" s="105">
        <f t="shared" si="1"/>
        <v>0.625</v>
      </c>
      <c r="K68" s="152" t="s">
        <v>437</v>
      </c>
      <c r="L68" s="147" t="s">
        <v>438</v>
      </c>
      <c r="M68" s="97" t="s">
        <v>322</v>
      </c>
      <c r="N68" s="98" t="s">
        <v>439</v>
      </c>
      <c r="O68" s="212">
        <v>2</v>
      </c>
      <c r="P68" s="108">
        <v>3</v>
      </c>
      <c r="Q68" s="108" t="s">
        <v>71</v>
      </c>
      <c r="R68" s="108"/>
      <c r="S68" s="108"/>
      <c r="T68" s="108"/>
      <c r="U68" s="108"/>
      <c r="V68" s="108"/>
      <c r="W68" s="149" t="s">
        <v>71</v>
      </c>
    </row>
    <row r="69" spans="1:23" s="121" customFormat="1" ht="144">
      <c r="A69" s="178" t="s">
        <v>698</v>
      </c>
      <c r="B69" s="109">
        <v>65</v>
      </c>
      <c r="C69" s="92" t="s">
        <v>321</v>
      </c>
      <c r="D69" s="187">
        <v>2</v>
      </c>
      <c r="E69" s="93">
        <v>45944</v>
      </c>
      <c r="F69" s="94">
        <v>0.375</v>
      </c>
      <c r="G69" s="93">
        <v>45944</v>
      </c>
      <c r="H69" s="94">
        <v>0.68055555555555558</v>
      </c>
      <c r="I69" s="95">
        <f t="shared" ref="I69:I90" si="8">H69-F69</f>
        <v>0.30555555555555558</v>
      </c>
      <c r="J69" s="105">
        <f t="shared" ref="J69:J71" si="9">I69*D69</f>
        <v>0.61111111111111116</v>
      </c>
      <c r="K69" s="152" t="s">
        <v>440</v>
      </c>
      <c r="L69" s="147" t="s">
        <v>441</v>
      </c>
      <c r="M69" s="97" t="s">
        <v>322</v>
      </c>
      <c r="N69" s="98" t="s">
        <v>442</v>
      </c>
      <c r="O69" s="212">
        <v>2</v>
      </c>
      <c r="P69" s="108">
        <v>2</v>
      </c>
      <c r="Q69" s="108">
        <v>4</v>
      </c>
      <c r="R69" s="108"/>
      <c r="S69" s="108" t="s">
        <v>71</v>
      </c>
      <c r="T69" s="108"/>
      <c r="U69" s="108"/>
      <c r="V69" s="108"/>
      <c r="W69" s="149" t="s">
        <v>71</v>
      </c>
    </row>
    <row r="70" spans="1:23" s="121" customFormat="1" ht="120">
      <c r="A70" s="178" t="s">
        <v>698</v>
      </c>
      <c r="B70" s="109">
        <v>66</v>
      </c>
      <c r="C70" s="92" t="s">
        <v>321</v>
      </c>
      <c r="D70" s="187">
        <v>2</v>
      </c>
      <c r="E70" s="93">
        <v>45945</v>
      </c>
      <c r="F70" s="94">
        <v>0.375</v>
      </c>
      <c r="G70" s="93">
        <v>45945</v>
      </c>
      <c r="H70" s="94">
        <v>0.6875</v>
      </c>
      <c r="I70" s="95">
        <f t="shared" si="8"/>
        <v>0.3125</v>
      </c>
      <c r="J70" s="105">
        <f t="shared" si="9"/>
        <v>0.625</v>
      </c>
      <c r="K70" s="96" t="s">
        <v>443</v>
      </c>
      <c r="L70" s="147" t="s">
        <v>444</v>
      </c>
      <c r="M70" s="97" t="s">
        <v>322</v>
      </c>
      <c r="N70" s="98" t="s">
        <v>445</v>
      </c>
      <c r="O70" s="212">
        <v>2</v>
      </c>
      <c r="P70" s="108" t="s">
        <v>71</v>
      </c>
      <c r="Q70" s="108">
        <v>2</v>
      </c>
      <c r="R70" s="108">
        <v>12</v>
      </c>
      <c r="S70" s="108"/>
      <c r="T70" s="108" t="s">
        <v>71</v>
      </c>
      <c r="U70" s="108" t="s">
        <v>71</v>
      </c>
      <c r="V70" s="108"/>
      <c r="W70" s="149" t="s">
        <v>71</v>
      </c>
    </row>
    <row r="71" spans="1:23" s="121" customFormat="1" ht="168">
      <c r="A71" s="178" t="s">
        <v>698</v>
      </c>
      <c r="B71" s="109">
        <v>67</v>
      </c>
      <c r="C71" s="92" t="s">
        <v>321</v>
      </c>
      <c r="D71" s="187">
        <v>2</v>
      </c>
      <c r="E71" s="93">
        <v>45946</v>
      </c>
      <c r="F71" s="94">
        <v>0.375</v>
      </c>
      <c r="G71" s="93">
        <v>45946</v>
      </c>
      <c r="H71" s="94">
        <v>0.68055555555555558</v>
      </c>
      <c r="I71" s="95">
        <f t="shared" si="8"/>
        <v>0.30555555555555558</v>
      </c>
      <c r="J71" s="105">
        <f t="shared" si="9"/>
        <v>0.61111111111111116</v>
      </c>
      <c r="K71" s="96">
        <v>102</v>
      </c>
      <c r="L71" s="147">
        <v>206</v>
      </c>
      <c r="M71" s="97" t="s">
        <v>322</v>
      </c>
      <c r="N71" s="98" t="s">
        <v>446</v>
      </c>
      <c r="O71" s="212">
        <v>1</v>
      </c>
      <c r="P71" s="108">
        <v>14</v>
      </c>
      <c r="Q71" s="108">
        <v>1</v>
      </c>
      <c r="R71" s="108">
        <v>1</v>
      </c>
      <c r="S71" s="108"/>
      <c r="T71" s="108" t="s">
        <v>71</v>
      </c>
      <c r="U71" s="108" t="s">
        <v>71</v>
      </c>
      <c r="V71" s="108"/>
      <c r="W71" s="149" t="s">
        <v>71</v>
      </c>
    </row>
    <row r="72" spans="1:23" s="121" customFormat="1" ht="48">
      <c r="A72" s="178" t="s">
        <v>698</v>
      </c>
      <c r="B72" s="109">
        <v>68</v>
      </c>
      <c r="C72" s="92" t="s">
        <v>321</v>
      </c>
      <c r="D72" s="187" t="s">
        <v>71</v>
      </c>
      <c r="E72" s="93">
        <v>45950</v>
      </c>
      <c r="F72" s="94">
        <v>0.375</v>
      </c>
      <c r="G72" s="93">
        <v>45950</v>
      </c>
      <c r="H72" s="94">
        <v>0.68055555555555558</v>
      </c>
      <c r="I72" s="95">
        <f t="shared" si="8"/>
        <v>0.30555555555555558</v>
      </c>
      <c r="J72" s="105" t="s">
        <v>71</v>
      </c>
      <c r="K72" s="96">
        <v>1</v>
      </c>
      <c r="L72" s="147" t="s">
        <v>447</v>
      </c>
      <c r="M72" s="97" t="s">
        <v>322</v>
      </c>
      <c r="N72" s="98" t="s">
        <v>448</v>
      </c>
      <c r="O72" s="212" t="s">
        <v>449</v>
      </c>
      <c r="P72" s="108" t="s">
        <v>71</v>
      </c>
      <c r="Q72" s="108" t="s">
        <v>71</v>
      </c>
      <c r="R72" s="108" t="s">
        <v>71</v>
      </c>
      <c r="S72" s="108"/>
      <c r="T72" s="108" t="s">
        <v>71</v>
      </c>
      <c r="U72" s="108" t="s">
        <v>71</v>
      </c>
      <c r="V72" s="108"/>
      <c r="W72" s="149" t="s">
        <v>450</v>
      </c>
    </row>
    <row r="73" spans="1:23" s="121" customFormat="1" ht="26.25">
      <c r="A73" s="178" t="s">
        <v>698</v>
      </c>
      <c r="B73" s="109">
        <v>69</v>
      </c>
      <c r="C73" s="92" t="s">
        <v>321</v>
      </c>
      <c r="D73" s="187">
        <v>2</v>
      </c>
      <c r="E73" s="93">
        <v>45951</v>
      </c>
      <c r="F73" s="94">
        <v>0.375</v>
      </c>
      <c r="G73" s="93">
        <v>45951</v>
      </c>
      <c r="H73" s="94">
        <v>0.6875</v>
      </c>
      <c r="I73" s="95">
        <f t="shared" si="8"/>
        <v>0.3125</v>
      </c>
      <c r="J73" s="105">
        <f t="shared" ref="J73:J80" si="10">I73*D73</f>
        <v>0.625</v>
      </c>
      <c r="K73" s="96">
        <v>9</v>
      </c>
      <c r="L73" s="147" t="s">
        <v>451</v>
      </c>
      <c r="M73" s="97" t="s">
        <v>322</v>
      </c>
      <c r="N73" s="98" t="s">
        <v>452</v>
      </c>
      <c r="O73" s="212">
        <v>2</v>
      </c>
      <c r="P73" s="108" t="s">
        <v>71</v>
      </c>
      <c r="Q73" s="108" t="s">
        <v>71</v>
      </c>
      <c r="R73" s="108" t="s">
        <v>71</v>
      </c>
      <c r="S73" s="108"/>
      <c r="T73" s="108"/>
      <c r="U73" s="108"/>
      <c r="V73" s="108"/>
      <c r="W73" s="149" t="s">
        <v>453</v>
      </c>
    </row>
    <row r="74" spans="1:23" s="121" customFormat="1" ht="72">
      <c r="A74" s="178" t="s">
        <v>698</v>
      </c>
      <c r="B74" s="109">
        <v>70</v>
      </c>
      <c r="C74" s="92" t="s">
        <v>321</v>
      </c>
      <c r="D74" s="187">
        <v>1</v>
      </c>
      <c r="E74" s="93">
        <v>45952</v>
      </c>
      <c r="F74" s="94">
        <v>0.375</v>
      </c>
      <c r="G74" s="93">
        <v>45952</v>
      </c>
      <c r="H74" s="94">
        <v>0.6875</v>
      </c>
      <c r="I74" s="95">
        <f t="shared" si="8"/>
        <v>0.3125</v>
      </c>
      <c r="J74" s="105">
        <f t="shared" si="10"/>
        <v>0.3125</v>
      </c>
      <c r="K74" s="96" t="s">
        <v>454</v>
      </c>
      <c r="L74" s="147" t="s">
        <v>455</v>
      </c>
      <c r="M74" s="97" t="s">
        <v>322</v>
      </c>
      <c r="N74" s="98" t="s">
        <v>456</v>
      </c>
      <c r="O74" s="212">
        <v>1</v>
      </c>
      <c r="P74" s="108" t="s">
        <v>71</v>
      </c>
      <c r="Q74" s="108" t="s">
        <v>71</v>
      </c>
      <c r="R74" s="108" t="s">
        <v>71</v>
      </c>
      <c r="S74" s="108"/>
      <c r="T74" s="108" t="s">
        <v>71</v>
      </c>
      <c r="U74" s="108" t="s">
        <v>71</v>
      </c>
      <c r="V74" s="108"/>
      <c r="W74" s="149" t="s">
        <v>71</v>
      </c>
    </row>
    <row r="75" spans="1:23" s="121" customFormat="1" ht="48">
      <c r="A75" s="178" t="s">
        <v>698</v>
      </c>
      <c r="B75" s="109">
        <v>71</v>
      </c>
      <c r="C75" s="92" t="s">
        <v>321</v>
      </c>
      <c r="D75" s="187">
        <v>1</v>
      </c>
      <c r="E75" s="93">
        <v>45953</v>
      </c>
      <c r="F75" s="94">
        <v>0.375</v>
      </c>
      <c r="G75" s="93">
        <v>45953</v>
      </c>
      <c r="H75" s="94">
        <v>0.70138888888888884</v>
      </c>
      <c r="I75" s="95">
        <f t="shared" si="8"/>
        <v>0.32638888888888884</v>
      </c>
      <c r="J75" s="105">
        <f t="shared" si="10"/>
        <v>0.32638888888888884</v>
      </c>
      <c r="K75" s="96" t="s">
        <v>457</v>
      </c>
      <c r="L75" s="147" t="s">
        <v>458</v>
      </c>
      <c r="M75" s="97" t="s">
        <v>322</v>
      </c>
      <c r="N75" s="98" t="s">
        <v>459</v>
      </c>
      <c r="O75" s="212">
        <f t="shared" ref="O75:O76" si="11">D75</f>
        <v>1</v>
      </c>
      <c r="P75" s="108" t="s">
        <v>71</v>
      </c>
      <c r="Q75" s="108" t="s">
        <v>71</v>
      </c>
      <c r="R75" s="108" t="s">
        <v>71</v>
      </c>
      <c r="S75" s="108"/>
      <c r="T75" s="108" t="s">
        <v>71</v>
      </c>
      <c r="U75" s="108" t="s">
        <v>71</v>
      </c>
      <c r="V75" s="108"/>
      <c r="W75" s="149" t="s">
        <v>71</v>
      </c>
    </row>
    <row r="76" spans="1:23" s="121" customFormat="1" ht="96">
      <c r="A76" s="178" t="s">
        <v>698</v>
      </c>
      <c r="B76" s="109">
        <v>72</v>
      </c>
      <c r="C76" s="92" t="s">
        <v>321</v>
      </c>
      <c r="D76" s="187">
        <v>2</v>
      </c>
      <c r="E76" s="93">
        <v>45959</v>
      </c>
      <c r="F76" s="94">
        <v>0.375</v>
      </c>
      <c r="G76" s="93">
        <v>45959</v>
      </c>
      <c r="H76" s="94">
        <v>0.69444444444444442</v>
      </c>
      <c r="I76" s="95">
        <f t="shared" si="8"/>
        <v>0.31944444444444442</v>
      </c>
      <c r="J76" s="105">
        <f t="shared" si="10"/>
        <v>0.63888888888888884</v>
      </c>
      <c r="K76" s="96" t="s">
        <v>460</v>
      </c>
      <c r="L76" s="147" t="s">
        <v>461</v>
      </c>
      <c r="M76" s="97" t="s">
        <v>322</v>
      </c>
      <c r="N76" s="98" t="s">
        <v>462</v>
      </c>
      <c r="O76" s="212">
        <f t="shared" si="11"/>
        <v>2</v>
      </c>
      <c r="P76" s="108">
        <v>3</v>
      </c>
      <c r="Q76" s="108">
        <v>1</v>
      </c>
      <c r="R76" s="108" t="s">
        <v>71</v>
      </c>
      <c r="S76" s="108"/>
      <c r="T76" s="108" t="s">
        <v>71</v>
      </c>
      <c r="U76" s="108" t="s">
        <v>71</v>
      </c>
      <c r="V76" s="108"/>
      <c r="W76" s="149" t="s">
        <v>71</v>
      </c>
    </row>
    <row r="77" spans="1:23" s="121" customFormat="1" ht="192">
      <c r="A77" s="178" t="s">
        <v>698</v>
      </c>
      <c r="B77" s="109">
        <v>73</v>
      </c>
      <c r="C77" s="92" t="s">
        <v>321</v>
      </c>
      <c r="D77" s="187">
        <v>2</v>
      </c>
      <c r="E77" s="93">
        <v>45960</v>
      </c>
      <c r="F77" s="94">
        <v>0.375</v>
      </c>
      <c r="G77" s="93">
        <v>45960</v>
      </c>
      <c r="H77" s="94">
        <v>0.6875</v>
      </c>
      <c r="I77" s="95">
        <f t="shared" si="8"/>
        <v>0.3125</v>
      </c>
      <c r="J77" s="105">
        <f t="shared" si="10"/>
        <v>0.625</v>
      </c>
      <c r="K77" s="96" t="s">
        <v>463</v>
      </c>
      <c r="L77" s="147" t="s">
        <v>464</v>
      </c>
      <c r="M77" s="97" t="s">
        <v>322</v>
      </c>
      <c r="N77" s="98" t="s">
        <v>465</v>
      </c>
      <c r="O77" s="212">
        <v>2</v>
      </c>
      <c r="P77" s="108">
        <v>1</v>
      </c>
      <c r="Q77" s="108">
        <v>3</v>
      </c>
      <c r="R77" s="108" t="s">
        <v>71</v>
      </c>
      <c r="S77" s="108"/>
      <c r="T77" s="108"/>
      <c r="U77" s="108"/>
      <c r="V77" s="108"/>
      <c r="W77" s="149" t="s">
        <v>71</v>
      </c>
    </row>
    <row r="78" spans="1:23" s="121" customFormat="1" ht="26.25">
      <c r="A78" s="178" t="s">
        <v>698</v>
      </c>
      <c r="B78" s="109">
        <v>74</v>
      </c>
      <c r="C78" s="92" t="s">
        <v>321</v>
      </c>
      <c r="D78" s="187">
        <v>2</v>
      </c>
      <c r="E78" s="93">
        <v>45966</v>
      </c>
      <c r="F78" s="94">
        <v>0.375</v>
      </c>
      <c r="G78" s="93">
        <v>45966</v>
      </c>
      <c r="H78" s="94">
        <v>0.69444444444444442</v>
      </c>
      <c r="I78" s="95">
        <f t="shared" si="8"/>
        <v>0.31944444444444442</v>
      </c>
      <c r="J78" s="105">
        <f t="shared" si="10"/>
        <v>0.63888888888888884</v>
      </c>
      <c r="K78" s="96">
        <v>102</v>
      </c>
      <c r="L78" s="147" t="s">
        <v>466</v>
      </c>
      <c r="M78" s="97" t="s">
        <v>322</v>
      </c>
      <c r="N78" s="98" t="s">
        <v>467</v>
      </c>
      <c r="O78" s="212" t="s">
        <v>71</v>
      </c>
      <c r="P78" s="108" t="s">
        <v>71</v>
      </c>
      <c r="Q78" s="108" t="s">
        <v>71</v>
      </c>
      <c r="R78" s="108" t="s">
        <v>71</v>
      </c>
      <c r="S78" s="108"/>
      <c r="T78" s="108" t="s">
        <v>71</v>
      </c>
      <c r="U78" s="108" t="s">
        <v>71</v>
      </c>
      <c r="V78" s="108"/>
      <c r="W78" s="149" t="s">
        <v>431</v>
      </c>
    </row>
    <row r="79" spans="1:23" s="121" customFormat="1" ht="26.25">
      <c r="A79" s="178" t="s">
        <v>698</v>
      </c>
      <c r="B79" s="109">
        <v>75</v>
      </c>
      <c r="C79" s="92" t="s">
        <v>321</v>
      </c>
      <c r="D79" s="187">
        <v>2</v>
      </c>
      <c r="E79" s="93">
        <v>45967</v>
      </c>
      <c r="F79" s="94">
        <v>0.375</v>
      </c>
      <c r="G79" s="93">
        <v>45967</v>
      </c>
      <c r="H79" s="94">
        <v>0.60416666666666663</v>
      </c>
      <c r="I79" s="95">
        <f t="shared" si="8"/>
        <v>0.22916666666666663</v>
      </c>
      <c r="J79" s="105">
        <f t="shared" si="10"/>
        <v>0.45833333333333326</v>
      </c>
      <c r="K79" s="96">
        <v>102</v>
      </c>
      <c r="L79" s="147" t="s">
        <v>466</v>
      </c>
      <c r="M79" s="97" t="s">
        <v>322</v>
      </c>
      <c r="N79" s="98" t="s">
        <v>467</v>
      </c>
      <c r="O79" s="212" t="s">
        <v>71</v>
      </c>
      <c r="P79" s="108" t="s">
        <v>71</v>
      </c>
      <c r="Q79" s="108" t="s">
        <v>71</v>
      </c>
      <c r="R79" s="108" t="s">
        <v>71</v>
      </c>
      <c r="S79" s="108"/>
      <c r="T79" s="108"/>
      <c r="U79" s="108"/>
      <c r="V79" s="108"/>
      <c r="W79" s="149" t="s">
        <v>431</v>
      </c>
    </row>
    <row r="80" spans="1:23" s="121" customFormat="1" ht="26.25">
      <c r="A80" s="178" t="s">
        <v>698</v>
      </c>
      <c r="B80" s="109">
        <v>76</v>
      </c>
      <c r="C80" s="92" t="s">
        <v>321</v>
      </c>
      <c r="D80" s="187">
        <v>2</v>
      </c>
      <c r="E80" s="93">
        <v>45968</v>
      </c>
      <c r="F80" s="94">
        <v>0.375</v>
      </c>
      <c r="G80" s="93">
        <v>45968</v>
      </c>
      <c r="H80" s="94">
        <v>0.47916666666666669</v>
      </c>
      <c r="I80" s="95">
        <f t="shared" si="8"/>
        <v>0.10416666666666669</v>
      </c>
      <c r="J80" s="105">
        <f t="shared" si="10"/>
        <v>0.20833333333333337</v>
      </c>
      <c r="K80" s="96">
        <v>5</v>
      </c>
      <c r="L80" s="147">
        <v>304</v>
      </c>
      <c r="M80" s="97" t="s">
        <v>322</v>
      </c>
      <c r="N80" s="98" t="s">
        <v>468</v>
      </c>
      <c r="O80" s="212">
        <v>1</v>
      </c>
      <c r="P80" s="108" t="s">
        <v>71</v>
      </c>
      <c r="Q80" s="108">
        <v>4</v>
      </c>
      <c r="R80" s="108" t="s">
        <v>71</v>
      </c>
      <c r="S80" s="108"/>
      <c r="T80" s="108"/>
      <c r="U80" s="108"/>
      <c r="V80" s="108"/>
      <c r="W80" s="149" t="s">
        <v>71</v>
      </c>
    </row>
    <row r="81" spans="1:24" s="121" customFormat="1" ht="26.25">
      <c r="A81" s="178" t="s">
        <v>698</v>
      </c>
      <c r="B81" s="109">
        <v>77</v>
      </c>
      <c r="C81" s="92" t="s">
        <v>321</v>
      </c>
      <c r="D81" s="187" t="s">
        <v>71</v>
      </c>
      <c r="E81" s="93">
        <v>45972</v>
      </c>
      <c r="F81" s="94">
        <v>0.375</v>
      </c>
      <c r="G81" s="93">
        <v>45972</v>
      </c>
      <c r="H81" s="94">
        <v>0.6875</v>
      </c>
      <c r="I81" s="95">
        <f t="shared" si="8"/>
        <v>0.3125</v>
      </c>
      <c r="J81" s="105" t="s">
        <v>71</v>
      </c>
      <c r="K81" s="96">
        <v>1</v>
      </c>
      <c r="L81" s="147" t="s">
        <v>469</v>
      </c>
      <c r="M81" s="97" t="s">
        <v>322</v>
      </c>
      <c r="N81" s="98" t="s">
        <v>470</v>
      </c>
      <c r="O81" s="212" t="s">
        <v>449</v>
      </c>
      <c r="P81" s="108" t="s">
        <v>71</v>
      </c>
      <c r="Q81" s="108" t="s">
        <v>71</v>
      </c>
      <c r="R81" s="108" t="s">
        <v>71</v>
      </c>
      <c r="S81" s="108"/>
      <c r="T81" s="108"/>
      <c r="U81" s="108"/>
      <c r="V81" s="108"/>
      <c r="W81" s="149" t="s">
        <v>471</v>
      </c>
    </row>
    <row r="82" spans="1:24" s="121" customFormat="1" ht="26.25">
      <c r="A82" s="178" t="s">
        <v>698</v>
      </c>
      <c r="B82" s="109">
        <v>78</v>
      </c>
      <c r="C82" s="92" t="s">
        <v>321</v>
      </c>
      <c r="D82" s="187" t="s">
        <v>71</v>
      </c>
      <c r="E82" s="93">
        <v>45973</v>
      </c>
      <c r="F82" s="94">
        <v>0.375</v>
      </c>
      <c r="G82" s="93">
        <v>45973</v>
      </c>
      <c r="H82" s="94">
        <v>0.6875</v>
      </c>
      <c r="I82" s="95">
        <f t="shared" si="8"/>
        <v>0.3125</v>
      </c>
      <c r="J82" s="105" t="s">
        <v>71</v>
      </c>
      <c r="K82" s="96">
        <v>1</v>
      </c>
      <c r="L82" s="147" t="s">
        <v>469</v>
      </c>
      <c r="M82" s="97" t="s">
        <v>322</v>
      </c>
      <c r="N82" s="98" t="s">
        <v>472</v>
      </c>
      <c r="O82" s="212" t="s">
        <v>449</v>
      </c>
      <c r="P82" s="108" t="s">
        <v>71</v>
      </c>
      <c r="Q82" s="108" t="s">
        <v>71</v>
      </c>
      <c r="R82" s="108" t="s">
        <v>71</v>
      </c>
      <c r="S82" s="108"/>
      <c r="T82" s="108" t="s">
        <v>71</v>
      </c>
      <c r="U82" s="108" t="s">
        <v>71</v>
      </c>
      <c r="V82" s="108"/>
      <c r="W82" s="149" t="s">
        <v>473</v>
      </c>
    </row>
    <row r="83" spans="1:24" s="121" customFormat="1" ht="26.25">
      <c r="A83" s="178" t="s">
        <v>698</v>
      </c>
      <c r="B83" s="109">
        <v>79</v>
      </c>
      <c r="C83" s="92" t="s">
        <v>321</v>
      </c>
      <c r="D83" s="187">
        <v>1</v>
      </c>
      <c r="E83" s="93">
        <v>45974</v>
      </c>
      <c r="F83" s="94">
        <v>0.375</v>
      </c>
      <c r="G83" s="93">
        <v>45959</v>
      </c>
      <c r="H83" s="94">
        <v>0.56944444444444442</v>
      </c>
      <c r="I83" s="95">
        <f t="shared" si="8"/>
        <v>0.19444444444444442</v>
      </c>
      <c r="J83" s="105">
        <f t="shared" ref="J83" si="12">I83*D83</f>
        <v>0.19444444444444442</v>
      </c>
      <c r="K83" s="96">
        <v>8</v>
      </c>
      <c r="L83" s="96">
        <v>508</v>
      </c>
      <c r="M83" s="97" t="s">
        <v>322</v>
      </c>
      <c r="N83" s="98" t="s">
        <v>474</v>
      </c>
      <c r="O83" s="212">
        <f t="shared" ref="O83" si="13">D83</f>
        <v>1</v>
      </c>
      <c r="P83" s="108" t="s">
        <v>71</v>
      </c>
      <c r="Q83" s="108" t="s">
        <v>71</v>
      </c>
      <c r="R83" s="108" t="s">
        <v>71</v>
      </c>
      <c r="S83" s="108"/>
      <c r="T83" s="108" t="s">
        <v>71</v>
      </c>
      <c r="U83" s="108" t="s">
        <v>71</v>
      </c>
      <c r="V83" s="108"/>
      <c r="W83" s="149" t="s">
        <v>71</v>
      </c>
    </row>
    <row r="84" spans="1:24" s="121" customFormat="1" ht="26.25">
      <c r="A84" s="178" t="s">
        <v>698</v>
      </c>
      <c r="B84" s="109">
        <v>80</v>
      </c>
      <c r="C84" s="92" t="s">
        <v>321</v>
      </c>
      <c r="D84" s="187" t="s">
        <v>71</v>
      </c>
      <c r="E84" s="93">
        <v>45975</v>
      </c>
      <c r="F84" s="94">
        <v>0.375</v>
      </c>
      <c r="G84" s="93">
        <v>45975</v>
      </c>
      <c r="H84" s="94">
        <v>0.5625</v>
      </c>
      <c r="I84" s="95">
        <f t="shared" si="8"/>
        <v>0.1875</v>
      </c>
      <c r="J84" s="105" t="s">
        <v>71</v>
      </c>
      <c r="K84" s="96">
        <v>1</v>
      </c>
      <c r="L84" s="147" t="s">
        <v>469</v>
      </c>
      <c r="M84" s="97" t="s">
        <v>322</v>
      </c>
      <c r="N84" s="98" t="s">
        <v>475</v>
      </c>
      <c r="O84" s="212" t="s">
        <v>449</v>
      </c>
      <c r="P84" s="108" t="s">
        <v>71</v>
      </c>
      <c r="Q84" s="108" t="s">
        <v>71</v>
      </c>
      <c r="R84" s="108" t="s">
        <v>71</v>
      </c>
      <c r="S84" s="108"/>
      <c r="T84" s="108" t="s">
        <v>71</v>
      </c>
      <c r="U84" s="108" t="s">
        <v>71</v>
      </c>
      <c r="V84" s="108"/>
      <c r="W84" s="149" t="s">
        <v>71</v>
      </c>
    </row>
    <row r="85" spans="1:24" s="121" customFormat="1" ht="96">
      <c r="A85" s="178" t="s">
        <v>698</v>
      </c>
      <c r="B85" s="109">
        <v>81</v>
      </c>
      <c r="C85" s="92" t="s">
        <v>321</v>
      </c>
      <c r="D85" s="187">
        <v>2</v>
      </c>
      <c r="E85" s="93">
        <v>45985</v>
      </c>
      <c r="F85" s="94">
        <v>0.375</v>
      </c>
      <c r="G85" s="93">
        <v>45985</v>
      </c>
      <c r="H85" s="94">
        <v>0.69444444444444442</v>
      </c>
      <c r="I85" s="95">
        <f t="shared" si="8"/>
        <v>0.31944444444444442</v>
      </c>
      <c r="J85" s="105">
        <f t="shared" ref="J85:J90" si="14">I85*D85</f>
        <v>0.63888888888888884</v>
      </c>
      <c r="K85" s="96">
        <v>101</v>
      </c>
      <c r="L85" s="96">
        <v>101</v>
      </c>
      <c r="M85" s="97" t="s">
        <v>322</v>
      </c>
      <c r="N85" s="98" t="s">
        <v>476</v>
      </c>
      <c r="O85" s="212">
        <f t="shared" ref="O85:O86" si="15">D85</f>
        <v>2</v>
      </c>
      <c r="P85" s="108" t="s">
        <v>71</v>
      </c>
      <c r="Q85" s="108">
        <v>2</v>
      </c>
      <c r="R85" s="108">
        <v>12</v>
      </c>
      <c r="S85" s="108"/>
      <c r="T85" s="108" t="s">
        <v>71</v>
      </c>
      <c r="U85" s="108" t="s">
        <v>71</v>
      </c>
      <c r="V85" s="108"/>
      <c r="W85" s="149" t="s">
        <v>71</v>
      </c>
    </row>
    <row r="86" spans="1:24" s="121" customFormat="1" ht="72">
      <c r="A86" s="178" t="s">
        <v>698</v>
      </c>
      <c r="B86" s="109">
        <v>82</v>
      </c>
      <c r="C86" s="92" t="s">
        <v>321</v>
      </c>
      <c r="D86" s="187">
        <v>1</v>
      </c>
      <c r="E86" s="93">
        <v>45986</v>
      </c>
      <c r="F86" s="94">
        <v>0.375</v>
      </c>
      <c r="G86" s="93">
        <v>45986</v>
      </c>
      <c r="H86" s="94">
        <v>0.68055555555555558</v>
      </c>
      <c r="I86" s="95">
        <f t="shared" si="8"/>
        <v>0.30555555555555558</v>
      </c>
      <c r="J86" s="105">
        <f t="shared" si="14"/>
        <v>0.30555555555555558</v>
      </c>
      <c r="K86" s="96" t="s">
        <v>477</v>
      </c>
      <c r="L86" s="96" t="s">
        <v>478</v>
      </c>
      <c r="M86" s="97" t="s">
        <v>322</v>
      </c>
      <c r="N86" s="98" t="s">
        <v>479</v>
      </c>
      <c r="O86" s="212">
        <f t="shared" si="15"/>
        <v>1</v>
      </c>
      <c r="P86" s="108" t="s">
        <v>71</v>
      </c>
      <c r="Q86" s="108" t="s">
        <v>71</v>
      </c>
      <c r="R86" s="108">
        <v>20</v>
      </c>
      <c r="S86" s="108"/>
      <c r="T86" s="108" t="s">
        <v>71</v>
      </c>
      <c r="U86" s="108" t="s">
        <v>71</v>
      </c>
      <c r="V86" s="108"/>
      <c r="W86" s="149" t="s">
        <v>71</v>
      </c>
    </row>
    <row r="87" spans="1:24" s="121" customFormat="1" ht="96">
      <c r="A87" s="178" t="s">
        <v>698</v>
      </c>
      <c r="B87" s="109">
        <v>83</v>
      </c>
      <c r="C87" s="92" t="s">
        <v>321</v>
      </c>
      <c r="D87" s="187">
        <v>1</v>
      </c>
      <c r="E87" s="93">
        <v>45992</v>
      </c>
      <c r="F87" s="94">
        <v>0.375</v>
      </c>
      <c r="G87" s="93">
        <v>45992</v>
      </c>
      <c r="H87" s="94">
        <v>0.68055555555555558</v>
      </c>
      <c r="I87" s="95">
        <f t="shared" si="8"/>
        <v>0.30555555555555558</v>
      </c>
      <c r="J87" s="105">
        <f t="shared" si="14"/>
        <v>0.30555555555555558</v>
      </c>
      <c r="K87" s="96" t="s">
        <v>480</v>
      </c>
      <c r="L87" s="96" t="s">
        <v>481</v>
      </c>
      <c r="M87" s="97" t="s">
        <v>322</v>
      </c>
      <c r="N87" s="98" t="s">
        <v>482</v>
      </c>
      <c r="O87" s="212" t="s">
        <v>71</v>
      </c>
      <c r="P87" s="108">
        <v>13</v>
      </c>
      <c r="Q87" s="108" t="s">
        <v>71</v>
      </c>
      <c r="R87" s="108" t="s">
        <v>71</v>
      </c>
      <c r="S87" s="108"/>
      <c r="T87" s="108" t="s">
        <v>71</v>
      </c>
      <c r="U87" s="108" t="s">
        <v>71</v>
      </c>
      <c r="V87" s="108"/>
      <c r="W87" s="149" t="s">
        <v>71</v>
      </c>
    </row>
    <row r="88" spans="1:24" s="121" customFormat="1" ht="144">
      <c r="A88" s="178" t="s">
        <v>698</v>
      </c>
      <c r="B88" s="109">
        <v>84</v>
      </c>
      <c r="C88" s="92" t="s">
        <v>321</v>
      </c>
      <c r="D88" s="187">
        <v>3</v>
      </c>
      <c r="E88" s="93">
        <v>45993</v>
      </c>
      <c r="F88" s="94">
        <v>0.375</v>
      </c>
      <c r="G88" s="93">
        <v>45993</v>
      </c>
      <c r="H88" s="94">
        <v>0.68055555555555558</v>
      </c>
      <c r="I88" s="95">
        <f t="shared" si="8"/>
        <v>0.30555555555555558</v>
      </c>
      <c r="J88" s="105">
        <f t="shared" si="14"/>
        <v>0.91666666666666674</v>
      </c>
      <c r="K88" s="96" t="s">
        <v>483</v>
      </c>
      <c r="L88" s="96" t="s">
        <v>484</v>
      </c>
      <c r="M88" s="97" t="s">
        <v>322</v>
      </c>
      <c r="N88" s="98" t="s">
        <v>485</v>
      </c>
      <c r="O88" s="212">
        <v>2</v>
      </c>
      <c r="P88" s="108">
        <v>14</v>
      </c>
      <c r="Q88" s="108">
        <v>2</v>
      </c>
      <c r="R88" s="108">
        <v>4</v>
      </c>
      <c r="S88" s="108"/>
      <c r="T88" s="108" t="s">
        <v>71</v>
      </c>
      <c r="U88" s="108" t="s">
        <v>71</v>
      </c>
      <c r="V88" s="108"/>
      <c r="W88" s="149" t="s">
        <v>486</v>
      </c>
    </row>
    <row r="89" spans="1:24" s="121" customFormat="1" ht="26.25">
      <c r="A89" s="178" t="s">
        <v>698</v>
      </c>
      <c r="B89" s="109">
        <v>85</v>
      </c>
      <c r="C89" s="92" t="s">
        <v>321</v>
      </c>
      <c r="D89" s="187">
        <v>1</v>
      </c>
      <c r="E89" s="93">
        <v>45994</v>
      </c>
      <c r="F89" s="94">
        <v>0.375</v>
      </c>
      <c r="G89" s="93">
        <v>45994</v>
      </c>
      <c r="H89" s="94">
        <v>0.54166666666666663</v>
      </c>
      <c r="I89" s="95">
        <f t="shared" si="8"/>
        <v>0.16666666666666663</v>
      </c>
      <c r="J89" s="105">
        <f t="shared" si="14"/>
        <v>0.16666666666666663</v>
      </c>
      <c r="K89" s="96">
        <v>9</v>
      </c>
      <c r="L89" s="96">
        <v>502</v>
      </c>
      <c r="M89" s="97" t="s">
        <v>322</v>
      </c>
      <c r="N89" s="98" t="s">
        <v>487</v>
      </c>
      <c r="O89" s="212" t="s">
        <v>71</v>
      </c>
      <c r="P89" s="108">
        <v>7</v>
      </c>
      <c r="Q89" s="108" t="s">
        <v>71</v>
      </c>
      <c r="R89" s="108" t="s">
        <v>71</v>
      </c>
      <c r="S89" s="108"/>
      <c r="T89" s="108" t="s">
        <v>71</v>
      </c>
      <c r="U89" s="108" t="s">
        <v>71</v>
      </c>
      <c r="V89" s="108"/>
      <c r="W89" s="149" t="s">
        <v>71</v>
      </c>
    </row>
    <row r="90" spans="1:24" s="121" customFormat="1" ht="120">
      <c r="A90" s="178" t="s">
        <v>698</v>
      </c>
      <c r="B90" s="165">
        <v>86</v>
      </c>
      <c r="C90" s="166" t="s">
        <v>321</v>
      </c>
      <c r="D90" s="188">
        <v>2</v>
      </c>
      <c r="E90" s="167">
        <v>45996</v>
      </c>
      <c r="F90" s="168">
        <v>0.375</v>
      </c>
      <c r="G90" s="167">
        <v>45996</v>
      </c>
      <c r="H90" s="168">
        <v>0.67361111111111116</v>
      </c>
      <c r="I90" s="169">
        <f t="shared" si="8"/>
        <v>0.29861111111111116</v>
      </c>
      <c r="J90" s="170">
        <f t="shared" si="14"/>
        <v>0.59722222222222232</v>
      </c>
      <c r="K90" s="171" t="s">
        <v>488</v>
      </c>
      <c r="L90" s="171" t="s">
        <v>489</v>
      </c>
      <c r="M90" s="172" t="s">
        <v>322</v>
      </c>
      <c r="N90" s="173" t="s">
        <v>490</v>
      </c>
      <c r="O90" s="214">
        <v>2</v>
      </c>
      <c r="P90" s="174" t="s">
        <v>71</v>
      </c>
      <c r="Q90" s="174">
        <v>2</v>
      </c>
      <c r="R90" s="174" t="s">
        <v>71</v>
      </c>
      <c r="S90" s="174"/>
      <c r="T90" s="174" t="s">
        <v>71</v>
      </c>
      <c r="U90" s="174" t="s">
        <v>71</v>
      </c>
      <c r="V90" s="174">
        <v>1</v>
      </c>
      <c r="W90" s="175" t="s">
        <v>71</v>
      </c>
    </row>
    <row r="91" spans="1:24" s="132" customFormat="1" ht="34.5" customHeight="1">
      <c r="A91" s="123"/>
      <c r="B91" s="240" t="s">
        <v>128</v>
      </c>
      <c r="C91" s="241"/>
      <c r="D91" s="210">
        <f>SUM(D5:D90)</f>
        <v>147</v>
      </c>
      <c r="E91" s="125"/>
      <c r="F91" s="126"/>
      <c r="G91" s="125"/>
      <c r="H91" s="126"/>
      <c r="I91" s="127"/>
      <c r="J91" s="127"/>
      <c r="K91" s="124"/>
      <c r="L91" s="128"/>
      <c r="M91" s="124"/>
      <c r="N91" s="129"/>
      <c r="O91" s="215">
        <f t="shared" ref="O91:V91" si="16">SUM(O5:O90)</f>
        <v>124.5</v>
      </c>
      <c r="P91" s="122">
        <f t="shared" si="16"/>
        <v>210</v>
      </c>
      <c r="Q91" s="122">
        <f t="shared" si="16"/>
        <v>117</v>
      </c>
      <c r="R91" s="122">
        <f t="shared" si="16"/>
        <v>116</v>
      </c>
      <c r="S91" s="122">
        <f t="shared" si="16"/>
        <v>5</v>
      </c>
      <c r="T91" s="122">
        <f t="shared" si="16"/>
        <v>7.5</v>
      </c>
      <c r="U91" s="122">
        <f t="shared" si="16"/>
        <v>7.5</v>
      </c>
      <c r="V91" s="122">
        <f t="shared" si="16"/>
        <v>7</v>
      </c>
      <c r="W91" s="130"/>
      <c r="X91" s="131"/>
    </row>
  </sheetData>
  <mergeCells count="14">
    <mergeCell ref="O3:O4"/>
    <mergeCell ref="P3:V3"/>
    <mergeCell ref="W3:W4"/>
    <mergeCell ref="B3:B4"/>
    <mergeCell ref="C3:C4"/>
    <mergeCell ref="D3:D4"/>
    <mergeCell ref="E3:F3"/>
    <mergeCell ref="G3:H3"/>
    <mergeCell ref="K3:K4"/>
    <mergeCell ref="A3:A4"/>
    <mergeCell ref="B91:C91"/>
    <mergeCell ref="L3:L4"/>
    <mergeCell ref="M3:M4"/>
    <mergeCell ref="N3:N4"/>
  </mergeCells>
  <phoneticPr fontId="2" type="noConversion"/>
  <pageMargins left="0.7" right="0.7" top="0.75" bottom="0.75" header="0.3" footer="0.3"/>
  <pageSetup paperSize="9" scale="10"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CEEE-669D-46F7-BDBF-5EBC6F521969}">
  <sheetPr>
    <pageSetUpPr fitToPage="1"/>
  </sheetPr>
  <dimension ref="A2:AN127"/>
  <sheetViews>
    <sheetView view="pageBreakPreview" topLeftCell="A2" zoomScale="70" zoomScaleNormal="115" zoomScaleSheetLayoutView="70" workbookViewId="0">
      <pane xSplit="1" ySplit="3" topLeftCell="B92" activePane="bottomRight" state="frozen"/>
      <selection activeCell="A2" sqref="A2"/>
      <selection pane="topRight" activeCell="B2" sqref="B2"/>
      <selection pane="bottomLeft" activeCell="A5" sqref="A5"/>
      <selection pane="bottomRight" activeCell="K110" sqref="K110"/>
    </sheetView>
  </sheetViews>
  <sheetFormatPr defaultColWidth="9" defaultRowHeight="16.5"/>
  <cols>
    <col min="1" max="1" width="6" style="8" bestFit="1" customWidth="1"/>
    <col min="2" max="2" width="6.125" style="1" customWidth="1"/>
    <col min="3" max="3" width="8.5" style="1" bestFit="1" customWidth="1"/>
    <col min="4" max="4" width="13" style="1" customWidth="1"/>
    <col min="5" max="5" width="8.625" style="1" customWidth="1"/>
    <col min="6" max="6" width="8.25" style="1" bestFit="1" customWidth="1"/>
    <col min="7" max="7" width="8.625" style="1" customWidth="1"/>
    <col min="8" max="8" width="8.25" style="1" bestFit="1" customWidth="1"/>
    <col min="9" max="9" width="14" style="1" customWidth="1"/>
    <col min="10" max="10" width="18.875" style="1" bestFit="1" customWidth="1"/>
    <col min="11" max="11" width="7.625" style="1" customWidth="1"/>
    <col min="12" max="12" width="6.625" style="1" bestFit="1" customWidth="1"/>
    <col min="13" max="13" width="9.25" style="1" bestFit="1" customWidth="1"/>
    <col min="14" max="14" width="49.75" style="1" customWidth="1"/>
    <col min="15" max="15" width="13" style="1" customWidth="1"/>
    <col min="16" max="38" width="9.375" style="1" customWidth="1"/>
    <col min="39" max="39" width="26" style="1" customWidth="1"/>
    <col min="40" max="16384" width="9" style="1"/>
  </cols>
  <sheetData>
    <row r="2" spans="1:39" ht="30" customHeight="1" thickBot="1">
      <c r="B2" s="2" t="s">
        <v>0</v>
      </c>
      <c r="C2" s="3" t="s">
        <v>1</v>
      </c>
      <c r="D2" s="4" t="s">
        <v>2</v>
      </c>
      <c r="E2" s="5" t="s">
        <v>3</v>
      </c>
      <c r="F2" s="5" t="s">
        <v>4</v>
      </c>
      <c r="G2" s="5" t="s">
        <v>5</v>
      </c>
      <c r="H2" s="5" t="s">
        <v>6</v>
      </c>
      <c r="I2" s="5"/>
      <c r="J2" s="5"/>
      <c r="K2" s="3" t="s">
        <v>7</v>
      </c>
      <c r="L2" s="3">
        <v>201</v>
      </c>
      <c r="M2" s="4" t="s">
        <v>8</v>
      </c>
      <c r="N2" s="6" t="s">
        <v>9</v>
      </c>
      <c r="O2" s="7"/>
      <c r="P2" s="7"/>
      <c r="Q2" s="7"/>
      <c r="R2" s="7"/>
      <c r="S2" s="7"/>
      <c r="T2" s="7"/>
      <c r="U2" s="7"/>
      <c r="V2" s="7"/>
      <c r="W2" s="7"/>
      <c r="X2" s="7"/>
      <c r="Y2" s="7"/>
      <c r="Z2" s="7"/>
      <c r="AA2" s="7"/>
      <c r="AB2" s="7"/>
      <c r="AC2" s="7"/>
      <c r="AD2" s="7"/>
      <c r="AE2" s="7"/>
      <c r="AF2" s="7"/>
      <c r="AG2" s="7"/>
      <c r="AH2" s="7"/>
      <c r="AI2" s="7"/>
      <c r="AJ2" s="7"/>
      <c r="AK2" s="7"/>
      <c r="AL2" s="7"/>
      <c r="AM2" s="8"/>
    </row>
    <row r="3" spans="1:39" ht="20.100000000000001" customHeight="1">
      <c r="A3" s="242"/>
      <c r="B3" s="256" t="s">
        <v>10</v>
      </c>
      <c r="C3" s="256" t="s">
        <v>11</v>
      </c>
      <c r="D3" s="257" t="s">
        <v>703</v>
      </c>
      <c r="E3" s="259" t="s">
        <v>12</v>
      </c>
      <c r="F3" s="260"/>
      <c r="G3" s="259" t="s">
        <v>13</v>
      </c>
      <c r="H3" s="260"/>
      <c r="I3" s="193" t="s">
        <v>14</v>
      </c>
      <c r="J3" s="193" t="s">
        <v>15</v>
      </c>
      <c r="K3" s="250" t="s">
        <v>16</v>
      </c>
      <c r="L3" s="250" t="s">
        <v>17</v>
      </c>
      <c r="M3" s="250" t="s">
        <v>18</v>
      </c>
      <c r="N3" s="252" t="s">
        <v>19</v>
      </c>
      <c r="O3" s="246" t="s">
        <v>281</v>
      </c>
      <c r="P3" s="243" t="s">
        <v>704</v>
      </c>
      <c r="Q3" s="243"/>
      <c r="R3" s="243"/>
      <c r="S3" s="243"/>
      <c r="T3" s="243"/>
      <c r="U3" s="243"/>
      <c r="V3" s="243"/>
      <c r="W3" s="243"/>
      <c r="X3" s="243"/>
      <c r="Y3" s="243"/>
      <c r="Z3" s="243"/>
      <c r="AA3" s="243"/>
      <c r="AB3" s="243"/>
      <c r="AC3" s="243"/>
      <c r="AD3" s="243"/>
      <c r="AE3" s="243"/>
      <c r="AF3" s="243"/>
      <c r="AG3" s="243"/>
      <c r="AH3" s="243"/>
      <c r="AI3" s="243"/>
      <c r="AJ3" s="243"/>
      <c r="AK3" s="243"/>
      <c r="AL3" s="243"/>
      <c r="AM3" s="244" t="s">
        <v>44</v>
      </c>
    </row>
    <row r="4" spans="1:39" ht="45" customHeight="1" thickBot="1">
      <c r="A4" s="242"/>
      <c r="B4" s="256"/>
      <c r="C4" s="256"/>
      <c r="D4" s="258"/>
      <c r="E4" s="194" t="s">
        <v>20</v>
      </c>
      <c r="F4" s="195" t="s">
        <v>21</v>
      </c>
      <c r="G4" s="194" t="s">
        <v>20</v>
      </c>
      <c r="H4" s="195" t="s">
        <v>21</v>
      </c>
      <c r="I4" s="196" t="s">
        <v>22</v>
      </c>
      <c r="J4" s="196" t="s">
        <v>23</v>
      </c>
      <c r="K4" s="251"/>
      <c r="L4" s="251"/>
      <c r="M4" s="251"/>
      <c r="N4" s="253"/>
      <c r="O4" s="247"/>
      <c r="P4" s="192" t="s">
        <v>24</v>
      </c>
      <c r="Q4" s="192" t="s">
        <v>25</v>
      </c>
      <c r="R4" s="192" t="s">
        <v>26</v>
      </c>
      <c r="S4" s="192" t="s">
        <v>27</v>
      </c>
      <c r="T4" s="192" t="s">
        <v>28</v>
      </c>
      <c r="U4" s="192" t="s">
        <v>29</v>
      </c>
      <c r="V4" s="192" t="s">
        <v>30</v>
      </c>
      <c r="W4" s="192" t="s">
        <v>31</v>
      </c>
      <c r="X4" s="192" t="s">
        <v>32</v>
      </c>
      <c r="Y4" s="192" t="s">
        <v>33</v>
      </c>
      <c r="Z4" s="192" t="s">
        <v>34</v>
      </c>
      <c r="AA4" s="192" t="s">
        <v>35</v>
      </c>
      <c r="AB4" s="192" t="s">
        <v>36</v>
      </c>
      <c r="AC4" s="192" t="s">
        <v>37</v>
      </c>
      <c r="AD4" s="192" t="s">
        <v>38</v>
      </c>
      <c r="AE4" s="192" t="s">
        <v>39</v>
      </c>
      <c r="AF4" s="192" t="s">
        <v>40</v>
      </c>
      <c r="AG4" s="192" t="s">
        <v>41</v>
      </c>
      <c r="AH4" s="192" t="s">
        <v>42</v>
      </c>
      <c r="AI4" s="192" t="s">
        <v>268</v>
      </c>
      <c r="AJ4" s="192" t="s">
        <v>43</v>
      </c>
      <c r="AK4" s="192" t="s">
        <v>269</v>
      </c>
      <c r="AL4" s="192" t="s">
        <v>270</v>
      </c>
      <c r="AM4" s="245"/>
    </row>
    <row r="5" spans="1:39" ht="6.75" customHeight="1">
      <c r="B5" s="9"/>
      <c r="C5" s="9"/>
      <c r="D5" s="10"/>
      <c r="E5" s="11"/>
      <c r="F5" s="11"/>
      <c r="G5" s="11"/>
      <c r="H5" s="12"/>
      <c r="I5" s="12"/>
      <c r="J5" s="13"/>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4"/>
    </row>
    <row r="6" spans="1:39" s="36" customFormat="1" ht="27">
      <c r="A6" s="133" t="s">
        <v>278</v>
      </c>
      <c r="B6" s="28">
        <v>1</v>
      </c>
      <c r="C6" s="29" t="s">
        <v>45</v>
      </c>
      <c r="D6" s="204">
        <v>3</v>
      </c>
      <c r="E6" s="31">
        <v>45316</v>
      </c>
      <c r="F6" s="32">
        <v>0.54166666666666663</v>
      </c>
      <c r="G6" s="31">
        <v>45316</v>
      </c>
      <c r="H6" s="32">
        <v>0.6875</v>
      </c>
      <c r="I6" s="32">
        <f t="shared" ref="I6:I11" si="0">H6-F6</f>
        <v>0.14583333333333337</v>
      </c>
      <c r="J6" s="33">
        <f t="shared" ref="J6:J11" si="1">I6*D6</f>
        <v>0.43750000000000011</v>
      </c>
      <c r="K6" s="30">
        <v>9</v>
      </c>
      <c r="L6" s="30">
        <v>406</v>
      </c>
      <c r="M6" s="30" t="s">
        <v>46</v>
      </c>
      <c r="N6" s="34" t="s">
        <v>47</v>
      </c>
      <c r="O6" s="197">
        <v>2</v>
      </c>
      <c r="P6" s="26">
        <v>4</v>
      </c>
      <c r="Q6" s="26">
        <v>2</v>
      </c>
      <c r="R6" s="26"/>
      <c r="S6" s="26"/>
      <c r="T6" s="26"/>
      <c r="U6" s="26"/>
      <c r="V6" s="26"/>
      <c r="W6" s="26"/>
      <c r="X6" s="26"/>
      <c r="Y6" s="26"/>
      <c r="Z6" s="26"/>
      <c r="AA6" s="26"/>
      <c r="AB6" s="26"/>
      <c r="AC6" s="26"/>
      <c r="AD6" s="26"/>
      <c r="AE6" s="26"/>
      <c r="AF6" s="26"/>
      <c r="AG6" s="26"/>
      <c r="AH6" s="26"/>
      <c r="AI6" s="26"/>
      <c r="AJ6" s="26"/>
      <c r="AK6" s="26"/>
      <c r="AL6" s="26"/>
      <c r="AM6" s="35"/>
    </row>
    <row r="7" spans="1:39" s="36" customFormat="1" ht="40.5">
      <c r="A7" s="133" t="s">
        <v>278</v>
      </c>
      <c r="B7" s="37">
        <v>2</v>
      </c>
      <c r="C7" s="38" t="s">
        <v>45</v>
      </c>
      <c r="D7" s="205">
        <v>4</v>
      </c>
      <c r="E7" s="40">
        <v>45317</v>
      </c>
      <c r="F7" s="41">
        <v>0.54166666666666663</v>
      </c>
      <c r="G7" s="40">
        <v>45317</v>
      </c>
      <c r="H7" s="41">
        <v>0.67361111111111116</v>
      </c>
      <c r="I7" s="41">
        <f t="shared" si="0"/>
        <v>0.13194444444444453</v>
      </c>
      <c r="J7" s="42">
        <f t="shared" si="1"/>
        <v>0.52777777777777812</v>
      </c>
      <c r="K7" s="39">
        <v>9</v>
      </c>
      <c r="L7" s="39">
        <v>406</v>
      </c>
      <c r="M7" s="39" t="s">
        <v>46</v>
      </c>
      <c r="N7" s="43" t="s">
        <v>48</v>
      </c>
      <c r="O7" s="198">
        <v>4</v>
      </c>
      <c r="P7" s="44">
        <v>3</v>
      </c>
      <c r="Q7" s="44">
        <v>1</v>
      </c>
      <c r="R7" s="44">
        <v>2</v>
      </c>
      <c r="S7" s="44">
        <v>2</v>
      </c>
      <c r="T7" s="44">
        <v>0.5</v>
      </c>
      <c r="U7" s="44"/>
      <c r="V7" s="44"/>
      <c r="W7" s="44"/>
      <c r="X7" s="44"/>
      <c r="Y7" s="44"/>
      <c r="Z7" s="44"/>
      <c r="AA7" s="44"/>
      <c r="AB7" s="44"/>
      <c r="AC7" s="44"/>
      <c r="AD7" s="44"/>
      <c r="AE7" s="44"/>
      <c r="AF7" s="44"/>
      <c r="AG7" s="44"/>
      <c r="AH7" s="44"/>
      <c r="AI7" s="44"/>
      <c r="AJ7" s="44"/>
      <c r="AK7" s="44"/>
      <c r="AL7" s="44"/>
      <c r="AM7" s="45" t="s">
        <v>49</v>
      </c>
    </row>
    <row r="8" spans="1:39" s="36" customFormat="1" ht="17.25">
      <c r="A8" s="133" t="s">
        <v>278</v>
      </c>
      <c r="B8" s="37">
        <v>3</v>
      </c>
      <c r="C8" s="38" t="s">
        <v>45</v>
      </c>
      <c r="D8" s="205">
        <v>1</v>
      </c>
      <c r="E8" s="40">
        <v>45317</v>
      </c>
      <c r="F8" s="41">
        <v>0.35416666666666669</v>
      </c>
      <c r="G8" s="40">
        <v>45317</v>
      </c>
      <c r="H8" s="41">
        <v>0.3888888888888889</v>
      </c>
      <c r="I8" s="41">
        <f t="shared" si="0"/>
        <v>3.472222222222221E-2</v>
      </c>
      <c r="J8" s="42">
        <f t="shared" si="1"/>
        <v>3.472222222222221E-2</v>
      </c>
      <c r="K8" s="46">
        <v>7</v>
      </c>
      <c r="L8" s="46">
        <v>303</v>
      </c>
      <c r="M8" s="39" t="s">
        <v>46</v>
      </c>
      <c r="N8" s="47" t="s">
        <v>50</v>
      </c>
      <c r="O8" s="199">
        <v>1</v>
      </c>
      <c r="P8" s="48"/>
      <c r="Q8" s="48"/>
      <c r="R8" s="48"/>
      <c r="S8" s="48"/>
      <c r="T8" s="48"/>
      <c r="U8" s="48"/>
      <c r="V8" s="48"/>
      <c r="W8" s="48"/>
      <c r="X8" s="48"/>
      <c r="Y8" s="48"/>
      <c r="Z8" s="48"/>
      <c r="AA8" s="48"/>
      <c r="AB8" s="48"/>
      <c r="AC8" s="48"/>
      <c r="AD8" s="48"/>
      <c r="AE8" s="48"/>
      <c r="AF8" s="48"/>
      <c r="AG8" s="48"/>
      <c r="AH8" s="48"/>
      <c r="AI8" s="48"/>
      <c r="AJ8" s="48"/>
      <c r="AK8" s="48"/>
      <c r="AL8" s="48"/>
      <c r="AM8" s="49" t="s">
        <v>51</v>
      </c>
    </row>
    <row r="9" spans="1:39" s="36" customFormat="1" ht="17.25">
      <c r="A9" s="133" t="s">
        <v>278</v>
      </c>
      <c r="B9" s="37">
        <v>4</v>
      </c>
      <c r="C9" s="38" t="s">
        <v>45</v>
      </c>
      <c r="D9" s="205">
        <v>1</v>
      </c>
      <c r="E9" s="40">
        <v>45317</v>
      </c>
      <c r="F9" s="41">
        <v>0.39583333333333331</v>
      </c>
      <c r="G9" s="40">
        <v>45317</v>
      </c>
      <c r="H9" s="41">
        <v>0.4375</v>
      </c>
      <c r="I9" s="41">
        <f t="shared" si="0"/>
        <v>4.1666666666666685E-2</v>
      </c>
      <c r="J9" s="42">
        <f t="shared" si="1"/>
        <v>4.1666666666666685E-2</v>
      </c>
      <c r="K9" s="46">
        <v>8</v>
      </c>
      <c r="L9" s="46">
        <v>205</v>
      </c>
      <c r="M9" s="39" t="s">
        <v>46</v>
      </c>
      <c r="N9" s="47" t="s">
        <v>52</v>
      </c>
      <c r="O9" s="199">
        <v>1</v>
      </c>
      <c r="P9" s="48"/>
      <c r="Q9" s="48"/>
      <c r="R9" s="48"/>
      <c r="S9" s="48"/>
      <c r="T9" s="48"/>
      <c r="U9" s="48"/>
      <c r="V9" s="48"/>
      <c r="W9" s="48"/>
      <c r="X9" s="48"/>
      <c r="Y9" s="48"/>
      <c r="Z9" s="48"/>
      <c r="AA9" s="48"/>
      <c r="AB9" s="48"/>
      <c r="AC9" s="48"/>
      <c r="AD9" s="48"/>
      <c r="AE9" s="48"/>
      <c r="AF9" s="48"/>
      <c r="AG9" s="48"/>
      <c r="AH9" s="48"/>
      <c r="AI9" s="48"/>
      <c r="AJ9" s="48"/>
      <c r="AK9" s="48"/>
      <c r="AL9" s="48"/>
      <c r="AM9" s="49" t="s">
        <v>51</v>
      </c>
    </row>
    <row r="10" spans="1:39" s="36" customFormat="1" ht="40.5">
      <c r="A10" s="133" t="s">
        <v>278</v>
      </c>
      <c r="B10" s="37">
        <v>5</v>
      </c>
      <c r="C10" s="38" t="s">
        <v>45</v>
      </c>
      <c r="D10" s="205">
        <v>3</v>
      </c>
      <c r="E10" s="40">
        <v>45320</v>
      </c>
      <c r="F10" s="41">
        <v>0.375</v>
      </c>
      <c r="G10" s="40">
        <v>45320</v>
      </c>
      <c r="H10" s="41">
        <v>0.68055555555555558</v>
      </c>
      <c r="I10" s="41">
        <f t="shared" si="0"/>
        <v>0.30555555555555558</v>
      </c>
      <c r="J10" s="42">
        <f t="shared" si="1"/>
        <v>0.91666666666666674</v>
      </c>
      <c r="K10" s="39">
        <v>8</v>
      </c>
      <c r="L10" s="39">
        <v>408</v>
      </c>
      <c r="M10" s="39" t="s">
        <v>46</v>
      </c>
      <c r="N10" s="43" t="s">
        <v>53</v>
      </c>
      <c r="O10" s="198">
        <v>3</v>
      </c>
      <c r="P10" s="44">
        <v>7</v>
      </c>
      <c r="Q10" s="44"/>
      <c r="R10" s="44"/>
      <c r="S10" s="44"/>
      <c r="T10" s="44">
        <v>0.5</v>
      </c>
      <c r="U10" s="44"/>
      <c r="V10" s="44"/>
      <c r="W10" s="44"/>
      <c r="X10" s="44"/>
      <c r="Y10" s="44"/>
      <c r="Z10" s="44"/>
      <c r="AA10" s="44"/>
      <c r="AB10" s="44"/>
      <c r="AC10" s="44"/>
      <c r="AD10" s="44"/>
      <c r="AE10" s="44"/>
      <c r="AF10" s="44"/>
      <c r="AG10" s="44"/>
      <c r="AH10" s="44"/>
      <c r="AI10" s="44"/>
      <c r="AJ10" s="44"/>
      <c r="AK10" s="44"/>
      <c r="AL10" s="44"/>
      <c r="AM10" s="45" t="s">
        <v>54</v>
      </c>
    </row>
    <row r="11" spans="1:39" s="36" customFormat="1" ht="54">
      <c r="A11" s="133" t="s">
        <v>278</v>
      </c>
      <c r="B11" s="37">
        <v>6</v>
      </c>
      <c r="C11" s="38" t="s">
        <v>45</v>
      </c>
      <c r="D11" s="205">
        <v>3</v>
      </c>
      <c r="E11" s="40">
        <v>45321</v>
      </c>
      <c r="F11" s="41">
        <v>0.375</v>
      </c>
      <c r="G11" s="40">
        <v>45321</v>
      </c>
      <c r="H11" s="41">
        <v>0.68055555555555558</v>
      </c>
      <c r="I11" s="41">
        <f t="shared" si="0"/>
        <v>0.30555555555555558</v>
      </c>
      <c r="J11" s="42">
        <f t="shared" si="1"/>
        <v>0.91666666666666674</v>
      </c>
      <c r="K11" s="50" t="s">
        <v>55</v>
      </c>
      <c r="L11" s="51" t="s">
        <v>56</v>
      </c>
      <c r="M11" s="39" t="s">
        <v>46</v>
      </c>
      <c r="N11" s="43" t="s">
        <v>274</v>
      </c>
      <c r="O11" s="198">
        <v>3</v>
      </c>
      <c r="P11" s="44">
        <v>1</v>
      </c>
      <c r="Q11" s="44">
        <v>1</v>
      </c>
      <c r="R11" s="44"/>
      <c r="S11" s="44"/>
      <c r="T11" s="44"/>
      <c r="U11" s="44"/>
      <c r="V11" s="44"/>
      <c r="W11" s="44"/>
      <c r="X11" s="44">
        <v>2.4</v>
      </c>
      <c r="Y11" s="44"/>
      <c r="Z11" s="44">
        <v>1</v>
      </c>
      <c r="AA11" s="44"/>
      <c r="AB11" s="44"/>
      <c r="AC11" s="44"/>
      <c r="AD11" s="44"/>
      <c r="AE11" s="44"/>
      <c r="AF11" s="44"/>
      <c r="AG11" s="44"/>
      <c r="AH11" s="44"/>
      <c r="AI11" s="44"/>
      <c r="AJ11" s="44"/>
      <c r="AK11" s="44"/>
      <c r="AL11" s="44"/>
      <c r="AM11" s="45" t="s">
        <v>57</v>
      </c>
    </row>
    <row r="12" spans="1:39" s="36" customFormat="1" ht="27">
      <c r="A12" s="133" t="s">
        <v>278</v>
      </c>
      <c r="B12" s="37"/>
      <c r="C12" s="38" t="s">
        <v>45</v>
      </c>
      <c r="D12" s="205"/>
      <c r="E12" s="40"/>
      <c r="F12" s="41"/>
      <c r="G12" s="39"/>
      <c r="H12" s="41"/>
      <c r="I12" s="41"/>
      <c r="J12" s="42"/>
      <c r="K12" s="39">
        <v>5</v>
      </c>
      <c r="L12" s="51" t="s">
        <v>58</v>
      </c>
      <c r="M12" s="39" t="s">
        <v>46</v>
      </c>
      <c r="N12" s="43" t="s">
        <v>59</v>
      </c>
      <c r="O12" s="198"/>
      <c r="P12" s="16">
        <v>7</v>
      </c>
      <c r="Q12" s="16"/>
      <c r="R12" s="44"/>
      <c r="S12" s="44"/>
      <c r="T12" s="44"/>
      <c r="U12" s="44"/>
      <c r="V12" s="44"/>
      <c r="W12" s="44"/>
      <c r="X12" s="44"/>
      <c r="Y12" s="44"/>
      <c r="Z12" s="44"/>
      <c r="AA12" s="44"/>
      <c r="AB12" s="44"/>
      <c r="AC12" s="44"/>
      <c r="AD12" s="44"/>
      <c r="AE12" s="44"/>
      <c r="AF12" s="44"/>
      <c r="AG12" s="44"/>
      <c r="AH12" s="44"/>
      <c r="AI12" s="44"/>
      <c r="AJ12" s="44"/>
      <c r="AK12" s="44"/>
      <c r="AL12" s="44"/>
      <c r="AM12" s="45" t="s">
        <v>60</v>
      </c>
    </row>
    <row r="13" spans="1:39" s="36" customFormat="1" ht="40.5">
      <c r="A13" s="133" t="s">
        <v>278</v>
      </c>
      <c r="B13" s="37">
        <v>7</v>
      </c>
      <c r="C13" s="38" t="s">
        <v>45</v>
      </c>
      <c r="D13" s="205">
        <v>3</v>
      </c>
      <c r="E13" s="40">
        <v>45322</v>
      </c>
      <c r="F13" s="41">
        <v>0.39583333333333331</v>
      </c>
      <c r="G13" s="40">
        <v>45322</v>
      </c>
      <c r="H13" s="41">
        <v>0.6875</v>
      </c>
      <c r="I13" s="41">
        <f t="shared" ref="I13:I18" si="2">H13-F13</f>
        <v>0.29166666666666669</v>
      </c>
      <c r="J13" s="42">
        <f t="shared" ref="J13:J18" si="3">I13*D13</f>
        <v>0.875</v>
      </c>
      <c r="K13" s="39">
        <v>5</v>
      </c>
      <c r="L13" s="51" t="s">
        <v>58</v>
      </c>
      <c r="M13" s="39" t="s">
        <v>46</v>
      </c>
      <c r="N13" s="43" t="s">
        <v>275</v>
      </c>
      <c r="O13" s="198">
        <v>3</v>
      </c>
      <c r="P13" s="16">
        <v>7</v>
      </c>
      <c r="Q13" s="16"/>
      <c r="R13" s="44"/>
      <c r="S13" s="44"/>
      <c r="T13" s="44">
        <v>0.5</v>
      </c>
      <c r="U13" s="44"/>
      <c r="V13" s="44"/>
      <c r="W13" s="44">
        <v>2</v>
      </c>
      <c r="X13" s="44"/>
      <c r="Y13" s="44">
        <v>7.2</v>
      </c>
      <c r="Z13" s="44"/>
      <c r="AA13" s="44"/>
      <c r="AB13" s="44"/>
      <c r="AC13" s="44"/>
      <c r="AD13" s="44"/>
      <c r="AE13" s="44"/>
      <c r="AF13" s="44"/>
      <c r="AG13" s="44"/>
      <c r="AH13" s="44"/>
      <c r="AI13" s="44"/>
      <c r="AJ13" s="44"/>
      <c r="AK13" s="44"/>
      <c r="AL13" s="44"/>
      <c r="AM13" s="45" t="s">
        <v>61</v>
      </c>
    </row>
    <row r="14" spans="1:39" s="36" customFormat="1" ht="40.5">
      <c r="A14" s="133" t="s">
        <v>278</v>
      </c>
      <c r="B14" s="37">
        <v>8</v>
      </c>
      <c r="C14" s="38" t="s">
        <v>45</v>
      </c>
      <c r="D14" s="205">
        <v>3</v>
      </c>
      <c r="E14" s="40">
        <v>45323</v>
      </c>
      <c r="F14" s="41">
        <v>0.375</v>
      </c>
      <c r="G14" s="40">
        <v>45323</v>
      </c>
      <c r="H14" s="41">
        <v>0.6875</v>
      </c>
      <c r="I14" s="41">
        <f t="shared" si="2"/>
        <v>0.3125</v>
      </c>
      <c r="J14" s="42">
        <f t="shared" si="3"/>
        <v>0.9375</v>
      </c>
      <c r="K14" s="50" t="s">
        <v>62</v>
      </c>
      <c r="L14" s="51" t="s">
        <v>63</v>
      </c>
      <c r="M14" s="39" t="s">
        <v>46</v>
      </c>
      <c r="N14" s="43" t="s">
        <v>64</v>
      </c>
      <c r="O14" s="198">
        <v>3</v>
      </c>
      <c r="P14" s="16">
        <v>5</v>
      </c>
      <c r="Q14" s="16"/>
      <c r="R14" s="44"/>
      <c r="S14" s="44"/>
      <c r="T14" s="44">
        <v>0.5</v>
      </c>
      <c r="U14" s="44"/>
      <c r="V14" s="44"/>
      <c r="W14" s="44"/>
      <c r="X14" s="44"/>
      <c r="Y14" s="44">
        <v>7.2</v>
      </c>
      <c r="Z14" s="44"/>
      <c r="AA14" s="44"/>
      <c r="AB14" s="44"/>
      <c r="AC14" s="44"/>
      <c r="AD14" s="44"/>
      <c r="AE14" s="44"/>
      <c r="AF14" s="44"/>
      <c r="AG14" s="44"/>
      <c r="AH14" s="44"/>
      <c r="AI14" s="44"/>
      <c r="AJ14" s="44"/>
      <c r="AK14" s="44"/>
      <c r="AL14" s="44"/>
      <c r="AM14" s="45" t="s">
        <v>57</v>
      </c>
    </row>
    <row r="15" spans="1:39" s="36" customFormat="1" ht="27">
      <c r="A15" s="133" t="s">
        <v>278</v>
      </c>
      <c r="B15" s="37">
        <v>9</v>
      </c>
      <c r="C15" s="38" t="s">
        <v>45</v>
      </c>
      <c r="D15" s="205">
        <v>3</v>
      </c>
      <c r="E15" s="40">
        <v>45324</v>
      </c>
      <c r="F15" s="41">
        <v>0.36805555555555558</v>
      </c>
      <c r="G15" s="40">
        <v>45324</v>
      </c>
      <c r="H15" s="41">
        <v>0.66666666666666663</v>
      </c>
      <c r="I15" s="41">
        <f t="shared" si="2"/>
        <v>0.29861111111111105</v>
      </c>
      <c r="J15" s="42">
        <f t="shared" si="3"/>
        <v>0.89583333333333315</v>
      </c>
      <c r="K15" s="39" t="s">
        <v>65</v>
      </c>
      <c r="L15" s="39"/>
      <c r="M15" s="39" t="s">
        <v>46</v>
      </c>
      <c r="N15" s="43" t="s">
        <v>66</v>
      </c>
      <c r="O15" s="198">
        <v>3</v>
      </c>
      <c r="P15" s="44"/>
      <c r="Q15" s="44"/>
      <c r="R15" s="44"/>
      <c r="S15" s="44"/>
      <c r="T15" s="44"/>
      <c r="U15" s="44"/>
      <c r="V15" s="44"/>
      <c r="W15" s="44"/>
      <c r="X15" s="44"/>
      <c r="Y15" s="44"/>
      <c r="Z15" s="44"/>
      <c r="AA15" s="44">
        <v>2</v>
      </c>
      <c r="AB15" s="44"/>
      <c r="AC15" s="44"/>
      <c r="AD15" s="44"/>
      <c r="AE15" s="44"/>
      <c r="AF15" s="44"/>
      <c r="AG15" s="44"/>
      <c r="AH15" s="44"/>
      <c r="AI15" s="44"/>
      <c r="AJ15" s="44"/>
      <c r="AK15" s="44"/>
      <c r="AL15" s="44"/>
      <c r="AM15" s="45"/>
    </row>
    <row r="16" spans="1:39" s="36" customFormat="1" ht="17.25">
      <c r="A16" s="133" t="s">
        <v>278</v>
      </c>
      <c r="B16" s="37">
        <v>10</v>
      </c>
      <c r="C16" s="38" t="s">
        <v>45</v>
      </c>
      <c r="D16" s="205">
        <v>1</v>
      </c>
      <c r="E16" s="40">
        <v>45328</v>
      </c>
      <c r="F16" s="41">
        <v>0.4375</v>
      </c>
      <c r="G16" s="40">
        <v>45328</v>
      </c>
      <c r="H16" s="41">
        <v>0.47916666666666669</v>
      </c>
      <c r="I16" s="41">
        <f t="shared" si="2"/>
        <v>4.1666666666666685E-2</v>
      </c>
      <c r="J16" s="42">
        <f t="shared" si="3"/>
        <v>4.1666666666666685E-2</v>
      </c>
      <c r="K16" s="39">
        <v>9</v>
      </c>
      <c r="L16" s="39">
        <v>105</v>
      </c>
      <c r="M16" s="39" t="s">
        <v>46</v>
      </c>
      <c r="N16" s="47" t="s">
        <v>67</v>
      </c>
      <c r="O16" s="199">
        <v>1</v>
      </c>
      <c r="P16" s="48"/>
      <c r="Q16" s="48"/>
      <c r="R16" s="48"/>
      <c r="S16" s="48"/>
      <c r="T16" s="48"/>
      <c r="U16" s="48"/>
      <c r="V16" s="48"/>
      <c r="W16" s="48"/>
      <c r="X16" s="48"/>
      <c r="Y16" s="48"/>
      <c r="Z16" s="48"/>
      <c r="AA16" s="48"/>
      <c r="AB16" s="48"/>
      <c r="AC16" s="48"/>
      <c r="AD16" s="48"/>
      <c r="AE16" s="48"/>
      <c r="AF16" s="48"/>
      <c r="AG16" s="48"/>
      <c r="AH16" s="48"/>
      <c r="AI16" s="48"/>
      <c r="AJ16" s="48"/>
      <c r="AK16" s="48"/>
      <c r="AL16" s="48"/>
      <c r="AM16" s="49" t="s">
        <v>51</v>
      </c>
    </row>
    <row r="17" spans="1:39" s="36" customFormat="1">
      <c r="A17" s="133" t="s">
        <v>278</v>
      </c>
      <c r="B17" s="37">
        <v>11</v>
      </c>
      <c r="C17" s="38" t="s">
        <v>45</v>
      </c>
      <c r="D17" s="205">
        <v>2</v>
      </c>
      <c r="E17" s="40">
        <v>45329</v>
      </c>
      <c r="F17" s="41">
        <v>0.54166666666666663</v>
      </c>
      <c r="G17" s="40">
        <v>45329</v>
      </c>
      <c r="H17" s="41">
        <v>0.66666666666666663</v>
      </c>
      <c r="I17" s="41">
        <f t="shared" si="2"/>
        <v>0.125</v>
      </c>
      <c r="J17" s="42">
        <f t="shared" si="3"/>
        <v>0.25</v>
      </c>
      <c r="K17" s="39">
        <v>101</v>
      </c>
      <c r="L17" s="39">
        <v>103</v>
      </c>
      <c r="M17" s="39" t="s">
        <v>46</v>
      </c>
      <c r="N17" s="47" t="s">
        <v>68</v>
      </c>
      <c r="O17" s="199">
        <v>2</v>
      </c>
      <c r="P17" s="48"/>
      <c r="Q17" s="48"/>
      <c r="R17" s="48"/>
      <c r="S17" s="48"/>
      <c r="T17" s="48"/>
      <c r="U17" s="48"/>
      <c r="V17" s="48"/>
      <c r="W17" s="48"/>
      <c r="X17" s="48"/>
      <c r="Y17" s="48"/>
      <c r="Z17" s="48"/>
      <c r="AA17" s="48"/>
      <c r="AB17" s="48"/>
      <c r="AC17" s="48"/>
      <c r="AD17" s="48"/>
      <c r="AE17" s="48"/>
      <c r="AF17" s="48"/>
      <c r="AG17" s="48"/>
      <c r="AH17" s="48"/>
      <c r="AI17" s="48"/>
      <c r="AJ17" s="48"/>
      <c r="AK17" s="48"/>
      <c r="AL17" s="48"/>
      <c r="AM17" s="45"/>
    </row>
    <row r="18" spans="1:39" s="36" customFormat="1">
      <c r="A18" s="133" t="s">
        <v>278</v>
      </c>
      <c r="B18" s="37">
        <v>12</v>
      </c>
      <c r="C18" s="38" t="s">
        <v>45</v>
      </c>
      <c r="D18" s="205">
        <v>1</v>
      </c>
      <c r="E18" s="40">
        <v>45330</v>
      </c>
      <c r="F18" s="41">
        <v>0.375</v>
      </c>
      <c r="G18" s="40">
        <v>45330</v>
      </c>
      <c r="H18" s="41">
        <v>0.66666666666666663</v>
      </c>
      <c r="I18" s="41">
        <f t="shared" si="2"/>
        <v>0.29166666666666663</v>
      </c>
      <c r="J18" s="42">
        <f t="shared" si="3"/>
        <v>0.29166666666666663</v>
      </c>
      <c r="K18" s="39">
        <v>5</v>
      </c>
      <c r="L18" s="39">
        <v>203</v>
      </c>
      <c r="M18" s="39" t="s">
        <v>46</v>
      </c>
      <c r="N18" s="43" t="s">
        <v>69</v>
      </c>
      <c r="O18" s="198">
        <v>1</v>
      </c>
      <c r="P18" s="44"/>
      <c r="Q18" s="44">
        <v>1</v>
      </c>
      <c r="R18" s="44"/>
      <c r="S18" s="44"/>
      <c r="T18" s="44"/>
      <c r="U18" s="44"/>
      <c r="V18" s="44"/>
      <c r="W18" s="44"/>
      <c r="X18" s="44"/>
      <c r="Y18" s="44"/>
      <c r="Z18" s="44"/>
      <c r="AA18" s="44"/>
      <c r="AB18" s="44"/>
      <c r="AC18" s="44"/>
      <c r="AD18" s="44"/>
      <c r="AE18" s="44"/>
      <c r="AF18" s="44"/>
      <c r="AG18" s="44"/>
      <c r="AH18" s="44"/>
      <c r="AI18" s="44"/>
      <c r="AJ18" s="44"/>
      <c r="AK18" s="44"/>
      <c r="AL18" s="44"/>
      <c r="AM18" s="45"/>
    </row>
    <row r="19" spans="1:39" s="36" customFormat="1">
      <c r="A19" s="133" t="s">
        <v>278</v>
      </c>
      <c r="B19" s="37"/>
      <c r="C19" s="38" t="s">
        <v>45</v>
      </c>
      <c r="D19" s="205"/>
      <c r="E19" s="40"/>
      <c r="F19" s="41"/>
      <c r="G19" s="39"/>
      <c r="H19" s="41"/>
      <c r="I19" s="41"/>
      <c r="J19" s="42"/>
      <c r="K19" s="39">
        <v>2</v>
      </c>
      <c r="L19" s="39">
        <v>305</v>
      </c>
      <c r="M19" s="39" t="s">
        <v>46</v>
      </c>
      <c r="N19" s="47" t="s">
        <v>70</v>
      </c>
      <c r="O19" s="199" t="s">
        <v>71</v>
      </c>
      <c r="P19" s="48"/>
      <c r="Q19" s="48">
        <v>1</v>
      </c>
      <c r="R19" s="48"/>
      <c r="S19" s="48"/>
      <c r="T19" s="48"/>
      <c r="U19" s="48"/>
      <c r="V19" s="48"/>
      <c r="W19" s="48"/>
      <c r="X19" s="44">
        <v>2.4</v>
      </c>
      <c r="Y19" s="48"/>
      <c r="Z19" s="48"/>
      <c r="AA19" s="48"/>
      <c r="AB19" s="48"/>
      <c r="AC19" s="48"/>
      <c r="AD19" s="48"/>
      <c r="AE19" s="48"/>
      <c r="AF19" s="48"/>
      <c r="AG19" s="48"/>
      <c r="AH19" s="48"/>
      <c r="AI19" s="48"/>
      <c r="AJ19" s="48"/>
      <c r="AK19" s="48"/>
      <c r="AL19" s="48"/>
      <c r="AM19" s="45" t="s">
        <v>57</v>
      </c>
    </row>
    <row r="20" spans="1:39" s="36" customFormat="1" ht="27">
      <c r="A20" s="133" t="s">
        <v>278</v>
      </c>
      <c r="B20" s="37">
        <v>13</v>
      </c>
      <c r="C20" s="38" t="s">
        <v>45</v>
      </c>
      <c r="D20" s="205">
        <v>2</v>
      </c>
      <c r="E20" s="40">
        <v>45344</v>
      </c>
      <c r="F20" s="41">
        <v>0.375</v>
      </c>
      <c r="G20" s="40">
        <v>45344</v>
      </c>
      <c r="H20" s="41">
        <v>0.68055555555555558</v>
      </c>
      <c r="I20" s="41">
        <f t="shared" ref="I20:I26" si="4">H20-F20</f>
        <v>0.30555555555555558</v>
      </c>
      <c r="J20" s="42">
        <f t="shared" ref="J20:J26" si="5">I20*D20</f>
        <v>0.61111111111111116</v>
      </c>
      <c r="K20" s="39">
        <v>5</v>
      </c>
      <c r="L20" s="39">
        <v>301</v>
      </c>
      <c r="M20" s="39" t="s">
        <v>46</v>
      </c>
      <c r="N20" s="43" t="s">
        <v>72</v>
      </c>
      <c r="O20" s="198">
        <v>2</v>
      </c>
      <c r="P20" s="44">
        <v>7</v>
      </c>
      <c r="Q20" s="44"/>
      <c r="R20" s="44"/>
      <c r="S20" s="44"/>
      <c r="T20" s="44">
        <v>0.5</v>
      </c>
      <c r="U20" s="44"/>
      <c r="V20" s="44"/>
      <c r="W20" s="44"/>
      <c r="X20" s="44"/>
      <c r="Y20" s="44"/>
      <c r="Z20" s="44"/>
      <c r="AA20" s="44"/>
      <c r="AB20" s="44"/>
      <c r="AC20" s="44"/>
      <c r="AD20" s="44"/>
      <c r="AE20" s="44"/>
      <c r="AF20" s="44"/>
      <c r="AG20" s="44"/>
      <c r="AH20" s="44"/>
      <c r="AI20" s="44"/>
      <c r="AJ20" s="44"/>
      <c r="AK20" s="44"/>
      <c r="AL20" s="44"/>
      <c r="AM20" s="45"/>
    </row>
    <row r="21" spans="1:39" s="36" customFormat="1" ht="27">
      <c r="A21" s="133" t="s">
        <v>278</v>
      </c>
      <c r="B21" s="37">
        <v>14</v>
      </c>
      <c r="C21" s="38" t="s">
        <v>45</v>
      </c>
      <c r="D21" s="205">
        <v>2</v>
      </c>
      <c r="E21" s="40">
        <v>45345</v>
      </c>
      <c r="F21" s="41">
        <v>0.375</v>
      </c>
      <c r="G21" s="40">
        <v>45345</v>
      </c>
      <c r="H21" s="41">
        <v>0.68472222222222223</v>
      </c>
      <c r="I21" s="41">
        <f t="shared" si="4"/>
        <v>0.30972222222222223</v>
      </c>
      <c r="J21" s="42">
        <f t="shared" si="5"/>
        <v>0.61944444444444446</v>
      </c>
      <c r="K21" s="39">
        <v>5</v>
      </c>
      <c r="L21" s="39">
        <v>301</v>
      </c>
      <c r="M21" s="39" t="s">
        <v>46</v>
      </c>
      <c r="N21" s="43" t="s">
        <v>73</v>
      </c>
      <c r="O21" s="198">
        <v>2</v>
      </c>
      <c r="P21" s="44"/>
      <c r="Q21" s="44"/>
      <c r="R21" s="44">
        <v>1</v>
      </c>
      <c r="S21" s="44">
        <v>1</v>
      </c>
      <c r="T21" s="44"/>
      <c r="U21" s="44"/>
      <c r="V21" s="44"/>
      <c r="W21" s="44">
        <v>1</v>
      </c>
      <c r="X21" s="44"/>
      <c r="Y21" s="44"/>
      <c r="Z21" s="44"/>
      <c r="AA21" s="44"/>
      <c r="AB21" s="44"/>
      <c r="AC21" s="44">
        <v>1</v>
      </c>
      <c r="AD21" s="44">
        <v>1</v>
      </c>
      <c r="AE21" s="44"/>
      <c r="AF21" s="44"/>
      <c r="AG21" s="44"/>
      <c r="AH21" s="44"/>
      <c r="AI21" s="44"/>
      <c r="AJ21" s="44"/>
      <c r="AK21" s="44"/>
      <c r="AL21" s="44"/>
      <c r="AM21" s="45"/>
    </row>
    <row r="22" spans="1:39" s="36" customFormat="1" ht="27">
      <c r="A22" s="133" t="s">
        <v>278</v>
      </c>
      <c r="B22" s="37">
        <v>15</v>
      </c>
      <c r="C22" s="38" t="s">
        <v>45</v>
      </c>
      <c r="D22" s="205">
        <v>2</v>
      </c>
      <c r="E22" s="40">
        <v>45348</v>
      </c>
      <c r="F22" s="41">
        <v>0.375</v>
      </c>
      <c r="G22" s="40">
        <v>45348</v>
      </c>
      <c r="H22" s="41">
        <v>0.68055555555555558</v>
      </c>
      <c r="I22" s="41">
        <f t="shared" si="4"/>
        <v>0.30555555555555558</v>
      </c>
      <c r="J22" s="42">
        <f t="shared" si="5"/>
        <v>0.61111111111111116</v>
      </c>
      <c r="K22" s="39">
        <v>5</v>
      </c>
      <c r="L22" s="39">
        <v>301</v>
      </c>
      <c r="M22" s="39" t="s">
        <v>46</v>
      </c>
      <c r="N22" s="43" t="s">
        <v>74</v>
      </c>
      <c r="O22" s="198">
        <v>2</v>
      </c>
      <c r="P22" s="44"/>
      <c r="Q22" s="44">
        <v>2</v>
      </c>
      <c r="R22" s="44"/>
      <c r="S22" s="44"/>
      <c r="T22" s="44"/>
      <c r="U22" s="44"/>
      <c r="V22" s="44"/>
      <c r="W22" s="44"/>
      <c r="X22" s="44"/>
      <c r="Y22" s="44"/>
      <c r="Z22" s="44"/>
      <c r="AA22" s="44"/>
      <c r="AB22" s="44"/>
      <c r="AC22" s="44"/>
      <c r="AD22" s="44"/>
      <c r="AE22" s="44"/>
      <c r="AF22" s="44"/>
      <c r="AG22" s="44"/>
      <c r="AH22" s="44"/>
      <c r="AI22" s="44"/>
      <c r="AJ22" s="44"/>
      <c r="AK22" s="44"/>
      <c r="AL22" s="44"/>
      <c r="AM22" s="45"/>
    </row>
    <row r="23" spans="1:39" s="36" customFormat="1">
      <c r="A23" s="133" t="s">
        <v>278</v>
      </c>
      <c r="B23" s="37">
        <v>16</v>
      </c>
      <c r="C23" s="38" t="s">
        <v>45</v>
      </c>
      <c r="D23" s="205">
        <v>2</v>
      </c>
      <c r="E23" s="40">
        <v>45349</v>
      </c>
      <c r="F23" s="41">
        <v>0.58333333333333337</v>
      </c>
      <c r="G23" s="40">
        <v>45349</v>
      </c>
      <c r="H23" s="41">
        <v>0.68055555555555558</v>
      </c>
      <c r="I23" s="41">
        <f t="shared" si="4"/>
        <v>9.722222222222221E-2</v>
      </c>
      <c r="J23" s="42">
        <f t="shared" si="5"/>
        <v>0.19444444444444442</v>
      </c>
      <c r="K23" s="39">
        <v>2</v>
      </c>
      <c r="L23" s="39">
        <v>104</v>
      </c>
      <c r="M23" s="39" t="s">
        <v>46</v>
      </c>
      <c r="N23" s="47" t="s">
        <v>75</v>
      </c>
      <c r="O23" s="199">
        <v>2</v>
      </c>
      <c r="P23" s="48"/>
      <c r="Q23" s="44">
        <v>1</v>
      </c>
      <c r="R23" s="48"/>
      <c r="S23" s="48"/>
      <c r="T23" s="48"/>
      <c r="U23" s="48"/>
      <c r="V23" s="48"/>
      <c r="W23" s="48"/>
      <c r="X23" s="48"/>
      <c r="Y23" s="48"/>
      <c r="Z23" s="48"/>
      <c r="AA23" s="48"/>
      <c r="AB23" s="48"/>
      <c r="AC23" s="48"/>
      <c r="AD23" s="48"/>
      <c r="AE23" s="48"/>
      <c r="AF23" s="48"/>
      <c r="AG23" s="48"/>
      <c r="AH23" s="48"/>
      <c r="AI23" s="48"/>
      <c r="AJ23" s="48"/>
      <c r="AK23" s="48"/>
      <c r="AL23" s="48"/>
      <c r="AM23" s="45"/>
    </row>
    <row r="24" spans="1:39" s="36" customFormat="1" ht="27">
      <c r="A24" s="133" t="s">
        <v>278</v>
      </c>
      <c r="B24" s="37">
        <v>17</v>
      </c>
      <c r="C24" s="38" t="s">
        <v>45</v>
      </c>
      <c r="D24" s="205">
        <v>2</v>
      </c>
      <c r="E24" s="40">
        <v>45350</v>
      </c>
      <c r="F24" s="41">
        <v>0.375</v>
      </c>
      <c r="G24" s="40">
        <v>45350</v>
      </c>
      <c r="H24" s="41">
        <v>0.68055555555555558</v>
      </c>
      <c r="I24" s="41">
        <f t="shared" si="4"/>
        <v>0.30555555555555558</v>
      </c>
      <c r="J24" s="42">
        <f t="shared" si="5"/>
        <v>0.61111111111111116</v>
      </c>
      <c r="K24" s="39">
        <v>2</v>
      </c>
      <c r="L24" s="39">
        <v>104</v>
      </c>
      <c r="M24" s="39" t="s">
        <v>46</v>
      </c>
      <c r="N24" s="43" t="s">
        <v>76</v>
      </c>
      <c r="O24" s="198">
        <v>2</v>
      </c>
      <c r="P24" s="44"/>
      <c r="Q24" s="44" t="s">
        <v>77</v>
      </c>
      <c r="R24" s="44"/>
      <c r="S24" s="44"/>
      <c r="T24" s="44"/>
      <c r="U24" s="44"/>
      <c r="V24" s="44"/>
      <c r="W24" s="44"/>
      <c r="X24" s="44"/>
      <c r="Y24" s="44"/>
      <c r="Z24" s="44"/>
      <c r="AA24" s="44"/>
      <c r="AB24" s="44"/>
      <c r="AC24" s="44">
        <v>1</v>
      </c>
      <c r="AD24" s="44">
        <v>1</v>
      </c>
      <c r="AE24" s="44"/>
      <c r="AF24" s="44"/>
      <c r="AG24" s="44"/>
      <c r="AH24" s="44"/>
      <c r="AI24" s="44"/>
      <c r="AJ24" s="44"/>
      <c r="AK24" s="44"/>
      <c r="AL24" s="44"/>
      <c r="AM24" s="45" t="s">
        <v>78</v>
      </c>
    </row>
    <row r="25" spans="1:39" s="36" customFormat="1" ht="40.5">
      <c r="A25" s="133" t="s">
        <v>278</v>
      </c>
      <c r="B25" s="37">
        <v>18</v>
      </c>
      <c r="C25" s="38" t="s">
        <v>45</v>
      </c>
      <c r="D25" s="205">
        <v>2</v>
      </c>
      <c r="E25" s="40">
        <v>45355</v>
      </c>
      <c r="F25" s="41">
        <v>0.375</v>
      </c>
      <c r="G25" s="40">
        <v>45355</v>
      </c>
      <c r="H25" s="41">
        <v>0.68055555555555558</v>
      </c>
      <c r="I25" s="41">
        <f t="shared" si="4"/>
        <v>0.30555555555555558</v>
      </c>
      <c r="J25" s="42">
        <f t="shared" si="5"/>
        <v>0.61111111111111116</v>
      </c>
      <c r="K25" s="39" t="s">
        <v>79</v>
      </c>
      <c r="L25" s="51" t="s">
        <v>80</v>
      </c>
      <c r="M25" s="39" t="s">
        <v>46</v>
      </c>
      <c r="N25" s="43" t="s">
        <v>81</v>
      </c>
      <c r="O25" s="198">
        <v>2</v>
      </c>
      <c r="P25" s="44"/>
      <c r="Q25" s="44">
        <v>1</v>
      </c>
      <c r="R25" s="44"/>
      <c r="S25" s="44"/>
      <c r="T25" s="44"/>
      <c r="U25" s="44"/>
      <c r="V25" s="44"/>
      <c r="W25" s="44"/>
      <c r="X25" s="44"/>
      <c r="Y25" s="44"/>
      <c r="Z25" s="44"/>
      <c r="AA25" s="44"/>
      <c r="AB25" s="44"/>
      <c r="AC25" s="44"/>
      <c r="AD25" s="44"/>
      <c r="AE25" s="44">
        <v>1</v>
      </c>
      <c r="AF25" s="44"/>
      <c r="AG25" s="44"/>
      <c r="AH25" s="44"/>
      <c r="AI25" s="44"/>
      <c r="AJ25" s="44"/>
      <c r="AK25" s="44"/>
      <c r="AL25" s="44"/>
      <c r="AM25" s="45" t="s">
        <v>82</v>
      </c>
    </row>
    <row r="26" spans="1:39" s="36" customFormat="1" ht="27">
      <c r="A26" s="133" t="s">
        <v>278</v>
      </c>
      <c r="B26" s="37">
        <v>19</v>
      </c>
      <c r="C26" s="38" t="s">
        <v>45</v>
      </c>
      <c r="D26" s="205">
        <v>2</v>
      </c>
      <c r="E26" s="40">
        <v>45357</v>
      </c>
      <c r="F26" s="41">
        <v>0.375</v>
      </c>
      <c r="G26" s="40">
        <v>45357</v>
      </c>
      <c r="H26" s="41">
        <v>0.68055555555555558</v>
      </c>
      <c r="I26" s="41">
        <f t="shared" si="4"/>
        <v>0.30555555555555558</v>
      </c>
      <c r="J26" s="42">
        <f t="shared" si="5"/>
        <v>0.61111111111111116</v>
      </c>
      <c r="K26" s="39">
        <v>5</v>
      </c>
      <c r="L26" s="39">
        <v>402</v>
      </c>
      <c r="M26" s="39" t="s">
        <v>46</v>
      </c>
      <c r="N26" s="43" t="s">
        <v>83</v>
      </c>
      <c r="O26" s="198">
        <v>2</v>
      </c>
      <c r="P26" s="44">
        <v>7</v>
      </c>
      <c r="Q26" s="44"/>
      <c r="R26" s="44"/>
      <c r="S26" s="44"/>
      <c r="T26" s="44"/>
      <c r="U26" s="44"/>
      <c r="V26" s="44"/>
      <c r="W26" s="44">
        <v>2</v>
      </c>
      <c r="X26" s="44"/>
      <c r="Y26" s="44"/>
      <c r="Z26" s="44"/>
      <c r="AA26" s="44"/>
      <c r="AB26" s="44"/>
      <c r="AC26" s="44"/>
      <c r="AD26" s="44"/>
      <c r="AE26" s="44"/>
      <c r="AF26" s="44"/>
      <c r="AG26" s="44"/>
      <c r="AH26" s="44"/>
      <c r="AI26" s="44"/>
      <c r="AJ26" s="44"/>
      <c r="AK26" s="44"/>
      <c r="AL26" s="44"/>
      <c r="AM26" s="45" t="s">
        <v>84</v>
      </c>
    </row>
    <row r="27" spans="1:39" s="36" customFormat="1" ht="27">
      <c r="A27" s="133" t="s">
        <v>278</v>
      </c>
      <c r="B27" s="37"/>
      <c r="C27" s="38" t="s">
        <v>45</v>
      </c>
      <c r="D27" s="205"/>
      <c r="E27" s="40"/>
      <c r="F27" s="41"/>
      <c r="G27" s="40"/>
      <c r="H27" s="41"/>
      <c r="I27" s="41"/>
      <c r="J27" s="42"/>
      <c r="K27" s="39" t="s">
        <v>85</v>
      </c>
      <c r="L27" s="39" t="s">
        <v>86</v>
      </c>
      <c r="M27" s="39" t="s">
        <v>46</v>
      </c>
      <c r="N27" s="43" t="s">
        <v>87</v>
      </c>
      <c r="O27" s="198" t="s">
        <v>71</v>
      </c>
      <c r="P27" s="44"/>
      <c r="Q27" s="44">
        <v>1</v>
      </c>
      <c r="R27" s="44"/>
      <c r="S27" s="44"/>
      <c r="T27" s="44"/>
      <c r="U27" s="44"/>
      <c r="V27" s="44"/>
      <c r="W27" s="44"/>
      <c r="X27" s="44"/>
      <c r="Y27" s="44"/>
      <c r="Z27" s="44"/>
      <c r="AA27" s="44"/>
      <c r="AB27" s="44"/>
      <c r="AC27" s="44"/>
      <c r="AD27" s="44"/>
      <c r="AE27" s="44">
        <v>1</v>
      </c>
      <c r="AF27" s="44"/>
      <c r="AG27" s="44"/>
      <c r="AH27" s="44"/>
      <c r="AI27" s="44"/>
      <c r="AJ27" s="44"/>
      <c r="AK27" s="44"/>
      <c r="AL27" s="44"/>
      <c r="AM27" s="45" t="s">
        <v>88</v>
      </c>
    </row>
    <row r="28" spans="1:39" s="36" customFormat="1" ht="40.5">
      <c r="A28" s="133" t="s">
        <v>278</v>
      </c>
      <c r="B28" s="37">
        <v>20</v>
      </c>
      <c r="C28" s="38" t="s">
        <v>45</v>
      </c>
      <c r="D28" s="205">
        <v>2</v>
      </c>
      <c r="E28" s="40">
        <v>45359</v>
      </c>
      <c r="F28" s="41">
        <v>0.54166666666666663</v>
      </c>
      <c r="G28" s="40">
        <v>45359</v>
      </c>
      <c r="H28" s="41">
        <v>0.68055555555555558</v>
      </c>
      <c r="I28" s="41">
        <f>H28-F28</f>
        <v>0.13888888888888895</v>
      </c>
      <c r="J28" s="42">
        <f>I28*D28</f>
        <v>0.2777777777777779</v>
      </c>
      <c r="K28" s="39" t="s">
        <v>79</v>
      </c>
      <c r="L28" s="39" t="s">
        <v>89</v>
      </c>
      <c r="M28" s="39" t="s">
        <v>46</v>
      </c>
      <c r="N28" s="43" t="s">
        <v>90</v>
      </c>
      <c r="O28" s="198">
        <v>2</v>
      </c>
      <c r="P28" s="44"/>
      <c r="Q28" s="44"/>
      <c r="R28" s="44"/>
      <c r="S28" s="44"/>
      <c r="T28" s="44"/>
      <c r="U28" s="44"/>
      <c r="V28" s="44"/>
      <c r="W28" s="44"/>
      <c r="X28" s="44"/>
      <c r="Y28" s="44"/>
      <c r="Z28" s="44"/>
      <c r="AA28" s="44"/>
      <c r="AB28" s="44"/>
      <c r="AC28" s="44"/>
      <c r="AD28" s="44"/>
      <c r="AE28" s="44">
        <v>1</v>
      </c>
      <c r="AF28" s="44"/>
      <c r="AG28" s="44"/>
      <c r="AH28" s="44"/>
      <c r="AI28" s="44"/>
      <c r="AJ28" s="44"/>
      <c r="AK28" s="44"/>
      <c r="AL28" s="44"/>
      <c r="AM28" s="45" t="s">
        <v>88</v>
      </c>
    </row>
    <row r="29" spans="1:39" s="36" customFormat="1" ht="40.5">
      <c r="A29" s="133" t="s">
        <v>278</v>
      </c>
      <c r="B29" s="37">
        <v>21</v>
      </c>
      <c r="C29" s="38" t="s">
        <v>45</v>
      </c>
      <c r="D29" s="205">
        <v>2</v>
      </c>
      <c r="E29" s="40">
        <v>45362</v>
      </c>
      <c r="F29" s="41">
        <v>0.375</v>
      </c>
      <c r="G29" s="40">
        <v>45362</v>
      </c>
      <c r="H29" s="41">
        <v>0.69444444444444442</v>
      </c>
      <c r="I29" s="41">
        <f>H29-F29</f>
        <v>0.31944444444444442</v>
      </c>
      <c r="J29" s="42">
        <f>I29*D29</f>
        <v>0.63888888888888884</v>
      </c>
      <c r="K29" s="51" t="s">
        <v>91</v>
      </c>
      <c r="L29" s="51" t="s">
        <v>92</v>
      </c>
      <c r="M29" s="39" t="s">
        <v>46</v>
      </c>
      <c r="N29" s="43" t="s">
        <v>93</v>
      </c>
      <c r="O29" s="198">
        <v>1</v>
      </c>
      <c r="P29" s="44"/>
      <c r="Q29" s="44">
        <v>2</v>
      </c>
      <c r="R29" s="44"/>
      <c r="S29" s="44"/>
      <c r="T29" s="44"/>
      <c r="U29" s="44">
        <v>4</v>
      </c>
      <c r="V29" s="44"/>
      <c r="W29" s="16">
        <v>10</v>
      </c>
      <c r="X29" s="44"/>
      <c r="Y29" s="44"/>
      <c r="Z29" s="44"/>
      <c r="AA29" s="44"/>
      <c r="AB29" s="44"/>
      <c r="AC29" s="44"/>
      <c r="AD29" s="44"/>
      <c r="AE29" s="44"/>
      <c r="AF29" s="44"/>
      <c r="AG29" s="44"/>
      <c r="AH29" s="44"/>
      <c r="AI29" s="44"/>
      <c r="AJ29" s="44"/>
      <c r="AK29" s="44"/>
      <c r="AL29" s="44"/>
      <c r="AM29" s="45" t="s">
        <v>94</v>
      </c>
    </row>
    <row r="30" spans="1:39" s="36" customFormat="1" ht="40.5">
      <c r="A30" s="133" t="s">
        <v>278</v>
      </c>
      <c r="B30" s="37"/>
      <c r="C30" s="38" t="s">
        <v>45</v>
      </c>
      <c r="D30" s="205"/>
      <c r="E30" s="40"/>
      <c r="F30" s="41"/>
      <c r="G30" s="40"/>
      <c r="H30" s="41"/>
      <c r="I30" s="41"/>
      <c r="J30" s="42"/>
      <c r="K30" s="39" t="s">
        <v>95</v>
      </c>
      <c r="L30" s="39" t="s">
        <v>96</v>
      </c>
      <c r="M30" s="39" t="s">
        <v>46</v>
      </c>
      <c r="N30" s="43" t="s">
        <v>97</v>
      </c>
      <c r="O30" s="198">
        <v>1</v>
      </c>
      <c r="P30" s="44"/>
      <c r="Q30" s="44">
        <v>1</v>
      </c>
      <c r="R30" s="44"/>
      <c r="S30" s="44"/>
      <c r="T30" s="44"/>
      <c r="U30" s="44"/>
      <c r="V30" s="44"/>
      <c r="W30" s="44"/>
      <c r="X30" s="44"/>
      <c r="Y30" s="44"/>
      <c r="Z30" s="44"/>
      <c r="AA30" s="44"/>
      <c r="AB30" s="44"/>
      <c r="AC30" s="44"/>
      <c r="AD30" s="44"/>
      <c r="AE30" s="44"/>
      <c r="AF30" s="44"/>
      <c r="AG30" s="44"/>
      <c r="AH30" s="44"/>
      <c r="AI30" s="44"/>
      <c r="AJ30" s="44"/>
      <c r="AK30" s="44"/>
      <c r="AL30" s="44"/>
      <c r="AM30" s="45"/>
    </row>
    <row r="31" spans="1:39" s="36" customFormat="1">
      <c r="A31" s="133" t="s">
        <v>278</v>
      </c>
      <c r="B31" s="37">
        <v>22</v>
      </c>
      <c r="C31" s="38" t="s">
        <v>45</v>
      </c>
      <c r="D31" s="205">
        <v>1</v>
      </c>
      <c r="E31" s="40">
        <v>45363</v>
      </c>
      <c r="F31" s="41">
        <v>0.375</v>
      </c>
      <c r="G31" s="40">
        <v>45363</v>
      </c>
      <c r="H31" s="41">
        <v>0.68055555555555558</v>
      </c>
      <c r="I31" s="41">
        <f t="shared" ref="I31:I43" si="6">H31-F31</f>
        <v>0.30555555555555558</v>
      </c>
      <c r="J31" s="42">
        <f t="shared" ref="J31:J43" si="7">I31*D31</f>
        <v>0.30555555555555558</v>
      </c>
      <c r="K31" s="39" t="s">
        <v>79</v>
      </c>
      <c r="L31" s="39" t="s">
        <v>89</v>
      </c>
      <c r="M31" s="39" t="s">
        <v>46</v>
      </c>
      <c r="N31" s="47" t="s">
        <v>98</v>
      </c>
      <c r="O31" s="199">
        <v>1</v>
      </c>
      <c r="P31" s="48"/>
      <c r="Q31" s="48"/>
      <c r="R31" s="48"/>
      <c r="S31" s="48"/>
      <c r="T31" s="48"/>
      <c r="U31" s="44">
        <v>2</v>
      </c>
      <c r="V31" s="44"/>
      <c r="W31" s="44">
        <v>4</v>
      </c>
      <c r="X31" s="44"/>
      <c r="Y31" s="48"/>
      <c r="Z31" s="48"/>
      <c r="AA31" s="48"/>
      <c r="AB31" s="48"/>
      <c r="AC31" s="48"/>
      <c r="AD31" s="48"/>
      <c r="AE31" s="48"/>
      <c r="AF31" s="48"/>
      <c r="AG31" s="48"/>
      <c r="AH31" s="48"/>
      <c r="AI31" s="48"/>
      <c r="AJ31" s="48"/>
      <c r="AK31" s="48"/>
      <c r="AL31" s="48"/>
      <c r="AM31" s="45"/>
    </row>
    <row r="32" spans="1:39" s="36" customFormat="1" ht="27">
      <c r="A32" s="133" t="s">
        <v>278</v>
      </c>
      <c r="B32" s="37">
        <v>23</v>
      </c>
      <c r="C32" s="38" t="s">
        <v>45</v>
      </c>
      <c r="D32" s="205">
        <v>2</v>
      </c>
      <c r="E32" s="40">
        <v>45365</v>
      </c>
      <c r="F32" s="41">
        <v>0.54166666666666663</v>
      </c>
      <c r="G32" s="40">
        <v>45365</v>
      </c>
      <c r="H32" s="41">
        <v>0.63888888888888884</v>
      </c>
      <c r="I32" s="41">
        <f t="shared" si="6"/>
        <v>9.722222222222221E-2</v>
      </c>
      <c r="J32" s="42">
        <f t="shared" si="7"/>
        <v>0.19444444444444442</v>
      </c>
      <c r="K32" s="39" t="s">
        <v>79</v>
      </c>
      <c r="L32" s="51" t="s">
        <v>99</v>
      </c>
      <c r="M32" s="51" t="s">
        <v>46</v>
      </c>
      <c r="N32" s="47" t="s">
        <v>100</v>
      </c>
      <c r="O32" s="200"/>
      <c r="P32" s="48"/>
      <c r="Q32" s="44"/>
      <c r="R32" s="48"/>
      <c r="S32" s="48"/>
      <c r="T32" s="48"/>
      <c r="U32" s="48"/>
      <c r="V32" s="48"/>
      <c r="W32" s="48"/>
      <c r="X32" s="48"/>
      <c r="Y32" s="48"/>
      <c r="Z32" s="48"/>
      <c r="AA32" s="48"/>
      <c r="AB32" s="48">
        <v>10</v>
      </c>
      <c r="AC32" s="48"/>
      <c r="AD32" s="48"/>
      <c r="AE32" s="48"/>
      <c r="AF32" s="48"/>
      <c r="AG32" s="48"/>
      <c r="AH32" s="48"/>
      <c r="AI32" s="48"/>
      <c r="AJ32" s="48"/>
      <c r="AK32" s="48"/>
      <c r="AL32" s="48"/>
      <c r="AM32" s="52"/>
    </row>
    <row r="33" spans="1:39" s="36" customFormat="1" ht="54" customHeight="1">
      <c r="A33" s="133" t="s">
        <v>278</v>
      </c>
      <c r="B33" s="37">
        <v>24</v>
      </c>
      <c r="C33" s="38" t="s">
        <v>45</v>
      </c>
      <c r="D33" s="205"/>
      <c r="E33" s="40">
        <v>45369</v>
      </c>
      <c r="F33" s="41">
        <v>0.375</v>
      </c>
      <c r="G33" s="40">
        <v>45369</v>
      </c>
      <c r="H33" s="41">
        <v>0.66666666666666663</v>
      </c>
      <c r="I33" s="41">
        <f t="shared" si="6"/>
        <v>0.29166666666666663</v>
      </c>
      <c r="J33" s="42">
        <f t="shared" si="7"/>
        <v>0</v>
      </c>
      <c r="K33" s="39">
        <v>1</v>
      </c>
      <c r="L33" s="39">
        <v>306</v>
      </c>
      <c r="M33" s="39" t="s">
        <v>46</v>
      </c>
      <c r="N33" s="43" t="s">
        <v>101</v>
      </c>
      <c r="O33" s="201" t="s">
        <v>102</v>
      </c>
      <c r="P33" s="76"/>
      <c r="Q33" s="76"/>
      <c r="R33" s="76"/>
      <c r="S33" s="76"/>
      <c r="T33" s="76"/>
      <c r="U33" s="76"/>
      <c r="V33" s="76"/>
      <c r="W33" s="76"/>
      <c r="X33" s="76"/>
      <c r="Y33" s="76"/>
      <c r="Z33" s="76"/>
      <c r="AA33" s="76"/>
      <c r="AB33" s="76"/>
      <c r="AC33" s="76"/>
      <c r="AD33" s="76"/>
      <c r="AE33" s="76"/>
      <c r="AF33" s="76"/>
      <c r="AG33" s="76"/>
      <c r="AH33" s="76"/>
      <c r="AI33" s="76"/>
      <c r="AJ33" s="76"/>
      <c r="AK33" s="53"/>
      <c r="AL33" s="53"/>
      <c r="AM33" s="45"/>
    </row>
    <row r="34" spans="1:39" s="36" customFormat="1" ht="54">
      <c r="A34" s="133" t="s">
        <v>278</v>
      </c>
      <c r="B34" s="37">
        <v>25</v>
      </c>
      <c r="C34" s="38" t="s">
        <v>45</v>
      </c>
      <c r="D34" s="205">
        <v>2</v>
      </c>
      <c r="E34" s="40">
        <v>45370</v>
      </c>
      <c r="F34" s="41">
        <v>0.375</v>
      </c>
      <c r="G34" s="40">
        <v>45370</v>
      </c>
      <c r="H34" s="41">
        <v>0.68055555555555558</v>
      </c>
      <c r="I34" s="41">
        <f t="shared" si="6"/>
        <v>0.30555555555555558</v>
      </c>
      <c r="J34" s="42">
        <f t="shared" si="7"/>
        <v>0.61111111111111116</v>
      </c>
      <c r="K34" s="39">
        <v>2</v>
      </c>
      <c r="L34" s="39">
        <v>101</v>
      </c>
      <c r="M34" s="39" t="s">
        <v>46</v>
      </c>
      <c r="N34" s="43" t="s">
        <v>103</v>
      </c>
      <c r="O34" s="198">
        <v>2</v>
      </c>
      <c r="P34" s="44">
        <v>3</v>
      </c>
      <c r="Q34" s="44">
        <v>2</v>
      </c>
      <c r="R34" s="44"/>
      <c r="S34" s="44"/>
      <c r="T34" s="44"/>
      <c r="U34" s="44"/>
      <c r="V34" s="44"/>
      <c r="W34" s="44">
        <v>2</v>
      </c>
      <c r="X34" s="44">
        <v>2.4</v>
      </c>
      <c r="Y34" s="44"/>
      <c r="Z34" s="44"/>
      <c r="AA34" s="44"/>
      <c r="AB34" s="44"/>
      <c r="AC34" s="44"/>
      <c r="AD34" s="44"/>
      <c r="AE34" s="44"/>
      <c r="AF34" s="44"/>
      <c r="AG34" s="44"/>
      <c r="AH34" s="44"/>
      <c r="AI34" s="44"/>
      <c r="AJ34" s="44"/>
      <c r="AK34" s="44"/>
      <c r="AL34" s="44"/>
      <c r="AM34" s="45" t="s">
        <v>57</v>
      </c>
    </row>
    <row r="35" spans="1:39" s="36" customFormat="1" ht="54">
      <c r="A35" s="133" t="s">
        <v>278</v>
      </c>
      <c r="B35" s="37">
        <v>26</v>
      </c>
      <c r="C35" s="38" t="s">
        <v>45</v>
      </c>
      <c r="D35" s="205">
        <v>2</v>
      </c>
      <c r="E35" s="40">
        <v>45372</v>
      </c>
      <c r="F35" s="41">
        <v>0.375</v>
      </c>
      <c r="G35" s="40">
        <v>45372</v>
      </c>
      <c r="H35" s="41">
        <v>0.68055555555555558</v>
      </c>
      <c r="I35" s="41">
        <f t="shared" si="6"/>
        <v>0.30555555555555558</v>
      </c>
      <c r="J35" s="42">
        <f t="shared" si="7"/>
        <v>0.61111111111111116</v>
      </c>
      <c r="K35" s="39">
        <v>2</v>
      </c>
      <c r="L35" s="39">
        <v>101</v>
      </c>
      <c r="M35" s="39" t="s">
        <v>46</v>
      </c>
      <c r="N35" s="43" t="s">
        <v>104</v>
      </c>
      <c r="O35" s="198">
        <v>2</v>
      </c>
      <c r="P35" s="44">
        <v>3</v>
      </c>
      <c r="Q35" s="44"/>
      <c r="R35" s="44"/>
      <c r="S35" s="44"/>
      <c r="T35" s="44"/>
      <c r="U35" s="44"/>
      <c r="V35" s="44"/>
      <c r="W35" s="44"/>
      <c r="X35" s="44"/>
      <c r="Y35" s="44"/>
      <c r="Z35" s="44"/>
      <c r="AA35" s="44"/>
      <c r="AB35" s="44"/>
      <c r="AC35" s="44"/>
      <c r="AD35" s="44"/>
      <c r="AE35" s="44"/>
      <c r="AF35" s="44">
        <v>20</v>
      </c>
      <c r="AG35" s="44"/>
      <c r="AH35" s="44"/>
      <c r="AI35" s="44"/>
      <c r="AJ35" s="44"/>
      <c r="AK35" s="44"/>
      <c r="AL35" s="44"/>
      <c r="AM35" s="45" t="s">
        <v>105</v>
      </c>
    </row>
    <row r="36" spans="1:39" s="36" customFormat="1">
      <c r="A36" s="133" t="s">
        <v>278</v>
      </c>
      <c r="B36" s="37">
        <v>27</v>
      </c>
      <c r="C36" s="38" t="s">
        <v>45</v>
      </c>
      <c r="D36" s="205">
        <v>2</v>
      </c>
      <c r="E36" s="40">
        <v>45373</v>
      </c>
      <c r="F36" s="41">
        <v>0.54166666666666663</v>
      </c>
      <c r="G36" s="40">
        <v>45373</v>
      </c>
      <c r="H36" s="41">
        <v>0.625</v>
      </c>
      <c r="I36" s="41">
        <f t="shared" si="6"/>
        <v>8.333333333333337E-2</v>
      </c>
      <c r="J36" s="42">
        <f t="shared" si="7"/>
        <v>0.16666666666666674</v>
      </c>
      <c r="K36" s="39">
        <v>3</v>
      </c>
      <c r="L36" s="39" t="s">
        <v>106</v>
      </c>
      <c r="M36" s="39" t="s">
        <v>46</v>
      </c>
      <c r="N36" s="47" t="s">
        <v>107</v>
      </c>
      <c r="O36" s="199">
        <v>2</v>
      </c>
      <c r="P36" s="48"/>
      <c r="Q36" s="48"/>
      <c r="R36" s="48"/>
      <c r="S36" s="48"/>
      <c r="T36" s="48"/>
      <c r="U36" s="48"/>
      <c r="V36" s="48"/>
      <c r="W36" s="48"/>
      <c r="X36" s="48"/>
      <c r="Y36" s="48"/>
      <c r="Z36" s="48"/>
      <c r="AA36" s="48"/>
      <c r="AB36" s="48"/>
      <c r="AC36" s="48"/>
      <c r="AD36" s="48"/>
      <c r="AE36" s="48"/>
      <c r="AF36" s="48"/>
      <c r="AG36" s="48"/>
      <c r="AH36" s="48"/>
      <c r="AI36" s="48"/>
      <c r="AJ36" s="48"/>
      <c r="AK36" s="48"/>
      <c r="AL36" s="48"/>
      <c r="AM36" s="45"/>
    </row>
    <row r="37" spans="1:39" s="36" customFormat="1" ht="40.5">
      <c r="A37" s="133" t="s">
        <v>278</v>
      </c>
      <c r="B37" s="37">
        <v>28</v>
      </c>
      <c r="C37" s="38" t="s">
        <v>45</v>
      </c>
      <c r="D37" s="205">
        <v>3</v>
      </c>
      <c r="E37" s="40">
        <v>45376</v>
      </c>
      <c r="F37" s="41">
        <v>0.375</v>
      </c>
      <c r="G37" s="40">
        <v>45376</v>
      </c>
      <c r="H37" s="41">
        <v>0.6875</v>
      </c>
      <c r="I37" s="41">
        <f t="shared" si="6"/>
        <v>0.3125</v>
      </c>
      <c r="J37" s="42">
        <f t="shared" si="7"/>
        <v>0.9375</v>
      </c>
      <c r="K37" s="51" t="s">
        <v>108</v>
      </c>
      <c r="L37" s="51" t="s">
        <v>109</v>
      </c>
      <c r="M37" s="39" t="s">
        <v>46</v>
      </c>
      <c r="N37" s="43" t="s">
        <v>110</v>
      </c>
      <c r="O37" s="198">
        <v>3</v>
      </c>
      <c r="P37" s="44"/>
      <c r="Q37" s="44"/>
      <c r="R37" s="44"/>
      <c r="S37" s="44"/>
      <c r="T37" s="44">
        <v>6</v>
      </c>
      <c r="U37" s="44"/>
      <c r="V37" s="44">
        <v>1</v>
      </c>
      <c r="W37" s="44"/>
      <c r="X37" s="44"/>
      <c r="Y37" s="44"/>
      <c r="Z37" s="44"/>
      <c r="AA37" s="44"/>
      <c r="AB37" s="44"/>
      <c r="AC37" s="44"/>
      <c r="AD37" s="44"/>
      <c r="AE37" s="44"/>
      <c r="AF37" s="44">
        <v>20</v>
      </c>
      <c r="AG37" s="44"/>
      <c r="AH37" s="44"/>
      <c r="AI37" s="44"/>
      <c r="AJ37" s="44"/>
      <c r="AK37" s="44"/>
      <c r="AL37" s="44"/>
      <c r="AM37" s="45" t="s">
        <v>111</v>
      </c>
    </row>
    <row r="38" spans="1:39" s="36" customFormat="1" ht="27">
      <c r="A38" s="133" t="s">
        <v>278</v>
      </c>
      <c r="B38" s="37">
        <v>29</v>
      </c>
      <c r="C38" s="38" t="s">
        <v>45</v>
      </c>
      <c r="D38" s="205">
        <v>2</v>
      </c>
      <c r="E38" s="40">
        <v>45377</v>
      </c>
      <c r="F38" s="41">
        <v>0.54166666666666663</v>
      </c>
      <c r="G38" s="40">
        <v>45377</v>
      </c>
      <c r="H38" s="41">
        <v>0.6875</v>
      </c>
      <c r="I38" s="41">
        <f t="shared" si="6"/>
        <v>0.14583333333333337</v>
      </c>
      <c r="J38" s="42">
        <f t="shared" si="7"/>
        <v>0.29166666666666674</v>
      </c>
      <c r="K38" s="39">
        <v>8</v>
      </c>
      <c r="L38" s="39">
        <v>210</v>
      </c>
      <c r="M38" s="39" t="s">
        <v>46</v>
      </c>
      <c r="N38" s="43" t="s">
        <v>112</v>
      </c>
      <c r="O38" s="198">
        <v>2</v>
      </c>
      <c r="P38" s="44">
        <v>3</v>
      </c>
      <c r="Q38" s="44"/>
      <c r="R38" s="44"/>
      <c r="S38" s="44"/>
      <c r="T38" s="44"/>
      <c r="U38" s="44"/>
      <c r="V38" s="44"/>
      <c r="W38" s="44"/>
      <c r="X38" s="44"/>
      <c r="Y38" s="44"/>
      <c r="Z38" s="44"/>
      <c r="AA38" s="44"/>
      <c r="AB38" s="44"/>
      <c r="AC38" s="44"/>
      <c r="AD38" s="44"/>
      <c r="AE38" s="44"/>
      <c r="AF38" s="44"/>
      <c r="AG38" s="44"/>
      <c r="AH38" s="44"/>
      <c r="AI38" s="44"/>
      <c r="AJ38" s="44"/>
      <c r="AK38" s="44"/>
      <c r="AL38" s="44"/>
      <c r="AM38" s="45"/>
    </row>
    <row r="39" spans="1:39" s="27" customFormat="1" ht="40.5">
      <c r="A39" s="133" t="s">
        <v>278</v>
      </c>
      <c r="B39" s="37">
        <v>30</v>
      </c>
      <c r="C39" s="38" t="s">
        <v>45</v>
      </c>
      <c r="D39" s="205">
        <v>2</v>
      </c>
      <c r="E39" s="40">
        <v>45378</v>
      </c>
      <c r="F39" s="41">
        <v>0.375</v>
      </c>
      <c r="G39" s="40">
        <v>45378</v>
      </c>
      <c r="H39" s="41">
        <v>0.64583333333333337</v>
      </c>
      <c r="I39" s="41">
        <f t="shared" si="6"/>
        <v>0.27083333333333337</v>
      </c>
      <c r="J39" s="42">
        <f t="shared" si="7"/>
        <v>0.54166666666666674</v>
      </c>
      <c r="K39" s="39">
        <v>8</v>
      </c>
      <c r="L39" s="39">
        <v>210</v>
      </c>
      <c r="M39" s="39" t="s">
        <v>46</v>
      </c>
      <c r="N39" s="43" t="s">
        <v>113</v>
      </c>
      <c r="O39" s="198">
        <v>2</v>
      </c>
      <c r="P39" s="44">
        <v>4</v>
      </c>
      <c r="Q39" s="44">
        <v>2</v>
      </c>
      <c r="R39" s="44"/>
      <c r="S39" s="44"/>
      <c r="T39" s="44">
        <v>0.5</v>
      </c>
      <c r="U39" s="44"/>
      <c r="V39" s="44"/>
      <c r="W39" s="44"/>
      <c r="X39" s="44"/>
      <c r="Y39" s="44"/>
      <c r="Z39" s="44"/>
      <c r="AA39" s="44"/>
      <c r="AB39" s="44"/>
      <c r="AC39" s="44"/>
      <c r="AD39" s="44"/>
      <c r="AE39" s="44"/>
      <c r="AF39" s="44"/>
      <c r="AG39" s="44"/>
      <c r="AH39" s="44"/>
      <c r="AI39" s="44"/>
      <c r="AJ39" s="44"/>
      <c r="AK39" s="44"/>
      <c r="AL39" s="44"/>
      <c r="AM39" s="45" t="s">
        <v>114</v>
      </c>
    </row>
    <row r="40" spans="1:39" s="27" customFormat="1" ht="27">
      <c r="A40" s="133" t="s">
        <v>278</v>
      </c>
      <c r="B40" s="37">
        <v>31</v>
      </c>
      <c r="C40" s="38" t="s">
        <v>45</v>
      </c>
      <c r="D40" s="205">
        <v>2</v>
      </c>
      <c r="E40" s="40">
        <v>45386</v>
      </c>
      <c r="F40" s="41">
        <v>0.375</v>
      </c>
      <c r="G40" s="40">
        <v>45386</v>
      </c>
      <c r="H40" s="41">
        <v>0.47916666666666669</v>
      </c>
      <c r="I40" s="41">
        <f t="shared" si="6"/>
        <v>0.10416666666666669</v>
      </c>
      <c r="J40" s="42">
        <f t="shared" si="7"/>
        <v>0.20833333333333337</v>
      </c>
      <c r="K40" s="39" t="s">
        <v>79</v>
      </c>
      <c r="L40" s="51" t="s">
        <v>115</v>
      </c>
      <c r="M40" s="39" t="s">
        <v>46</v>
      </c>
      <c r="N40" s="47" t="s">
        <v>116</v>
      </c>
      <c r="O40" s="199">
        <v>2</v>
      </c>
      <c r="P40" s="48"/>
      <c r="Q40" s="48">
        <v>3</v>
      </c>
      <c r="R40" s="48"/>
      <c r="S40" s="48"/>
      <c r="T40" s="48"/>
      <c r="U40" s="48"/>
      <c r="V40" s="48"/>
      <c r="W40" s="48"/>
      <c r="X40" s="48"/>
      <c r="Y40" s="48"/>
      <c r="Z40" s="48"/>
      <c r="AA40" s="48"/>
      <c r="AB40" s="48"/>
      <c r="AC40" s="48"/>
      <c r="AD40" s="48"/>
      <c r="AE40" s="48"/>
      <c r="AF40" s="48"/>
      <c r="AG40" s="48"/>
      <c r="AH40" s="48"/>
      <c r="AI40" s="48"/>
      <c r="AJ40" s="48"/>
      <c r="AK40" s="48"/>
      <c r="AL40" s="48"/>
      <c r="AM40" s="45"/>
    </row>
    <row r="41" spans="1:39" s="27" customFormat="1" ht="21.75" customHeight="1">
      <c r="A41" s="133" t="s">
        <v>278</v>
      </c>
      <c r="B41" s="37"/>
      <c r="C41" s="38" t="s">
        <v>45</v>
      </c>
      <c r="D41" s="205">
        <v>2</v>
      </c>
      <c r="E41" s="40">
        <v>45386</v>
      </c>
      <c r="F41" s="41">
        <v>0.54166666666666663</v>
      </c>
      <c r="G41" s="40">
        <v>45386</v>
      </c>
      <c r="H41" s="41">
        <v>0.68055555555555558</v>
      </c>
      <c r="I41" s="41">
        <f t="shared" si="6"/>
        <v>0.13888888888888895</v>
      </c>
      <c r="J41" s="42">
        <f t="shared" si="7"/>
        <v>0.2777777777777779</v>
      </c>
      <c r="K41" s="39">
        <v>5</v>
      </c>
      <c r="L41" s="39">
        <v>204</v>
      </c>
      <c r="M41" s="39" t="s">
        <v>117</v>
      </c>
      <c r="N41" s="47" t="s">
        <v>118</v>
      </c>
      <c r="O41" s="199">
        <v>2</v>
      </c>
      <c r="P41" s="48"/>
      <c r="Q41" s="48"/>
      <c r="R41" s="48"/>
      <c r="S41" s="48"/>
      <c r="T41" s="44">
        <v>0.5</v>
      </c>
      <c r="U41" s="48"/>
      <c r="V41" s="48"/>
      <c r="W41" s="48"/>
      <c r="X41" s="48"/>
      <c r="Y41" s="48"/>
      <c r="Z41" s="48"/>
      <c r="AA41" s="48"/>
      <c r="AB41" s="48"/>
      <c r="AC41" s="48"/>
      <c r="AD41" s="48"/>
      <c r="AE41" s="48"/>
      <c r="AF41" s="48"/>
      <c r="AG41" s="48"/>
      <c r="AH41" s="48"/>
      <c r="AI41" s="48"/>
      <c r="AJ41" s="48"/>
      <c r="AK41" s="48"/>
      <c r="AL41" s="48"/>
      <c r="AM41" s="45"/>
    </row>
    <row r="42" spans="1:39" s="27" customFormat="1" ht="54">
      <c r="A42" s="133" t="s">
        <v>278</v>
      </c>
      <c r="B42" s="37">
        <v>32</v>
      </c>
      <c r="C42" s="38" t="s">
        <v>45</v>
      </c>
      <c r="D42" s="205">
        <v>2</v>
      </c>
      <c r="E42" s="40">
        <v>45387</v>
      </c>
      <c r="F42" s="41">
        <v>0.375</v>
      </c>
      <c r="G42" s="40">
        <v>45387</v>
      </c>
      <c r="H42" s="41">
        <v>0.69444444444444442</v>
      </c>
      <c r="I42" s="41">
        <f t="shared" si="6"/>
        <v>0.31944444444444442</v>
      </c>
      <c r="J42" s="42">
        <f t="shared" si="7"/>
        <v>0.63888888888888884</v>
      </c>
      <c r="K42" s="39" t="s">
        <v>79</v>
      </c>
      <c r="L42" s="51" t="s">
        <v>119</v>
      </c>
      <c r="M42" s="39" t="s">
        <v>46</v>
      </c>
      <c r="N42" s="43" t="s">
        <v>120</v>
      </c>
      <c r="O42" s="198">
        <v>2</v>
      </c>
      <c r="P42" s="44"/>
      <c r="Q42" s="44">
        <v>4</v>
      </c>
      <c r="R42" s="44"/>
      <c r="S42" s="44"/>
      <c r="T42" s="44"/>
      <c r="U42" s="44"/>
      <c r="V42" s="44"/>
      <c r="W42" s="44"/>
      <c r="X42" s="44"/>
      <c r="Y42" s="44"/>
      <c r="Z42" s="44"/>
      <c r="AA42" s="44"/>
      <c r="AB42" s="44"/>
      <c r="AC42" s="44"/>
      <c r="AD42" s="44"/>
      <c r="AE42" s="44">
        <v>1</v>
      </c>
      <c r="AF42" s="44"/>
      <c r="AG42" s="44"/>
      <c r="AH42" s="44"/>
      <c r="AI42" s="44"/>
      <c r="AJ42" s="44"/>
      <c r="AK42" s="44"/>
      <c r="AL42" s="44"/>
      <c r="AM42" s="45" t="s">
        <v>121</v>
      </c>
    </row>
    <row r="43" spans="1:39" s="27" customFormat="1" ht="54">
      <c r="A43" s="133" t="s">
        <v>278</v>
      </c>
      <c r="B43" s="37">
        <v>33</v>
      </c>
      <c r="C43" s="38" t="s">
        <v>45</v>
      </c>
      <c r="D43" s="205">
        <v>2</v>
      </c>
      <c r="E43" s="40">
        <v>45390</v>
      </c>
      <c r="F43" s="41">
        <v>0.375</v>
      </c>
      <c r="G43" s="40">
        <v>45390</v>
      </c>
      <c r="H43" s="41">
        <v>0.6875</v>
      </c>
      <c r="I43" s="41">
        <f t="shared" si="6"/>
        <v>0.3125</v>
      </c>
      <c r="J43" s="42">
        <f t="shared" si="7"/>
        <v>0.625</v>
      </c>
      <c r="K43" s="51" t="s">
        <v>122</v>
      </c>
      <c r="L43" s="51" t="s">
        <v>123</v>
      </c>
      <c r="M43" s="39" t="s">
        <v>46</v>
      </c>
      <c r="N43" s="43" t="s">
        <v>124</v>
      </c>
      <c r="O43" s="198">
        <v>2</v>
      </c>
      <c r="P43" s="44"/>
      <c r="Q43" s="44">
        <v>1</v>
      </c>
      <c r="R43" s="44"/>
      <c r="S43" s="44"/>
      <c r="T43" s="44"/>
      <c r="U43" s="44"/>
      <c r="V43" s="44"/>
      <c r="W43" s="44"/>
      <c r="X43" s="44"/>
      <c r="Y43" s="44"/>
      <c r="Z43" s="44"/>
      <c r="AA43" s="44"/>
      <c r="AB43" s="44"/>
      <c r="AC43" s="44"/>
      <c r="AD43" s="44"/>
      <c r="AE43" s="44"/>
      <c r="AF43" s="44"/>
      <c r="AG43" s="44">
        <v>1</v>
      </c>
      <c r="AH43" s="44">
        <v>1</v>
      </c>
      <c r="AI43" s="44"/>
      <c r="AJ43" s="44"/>
      <c r="AK43" s="44"/>
      <c r="AL43" s="44"/>
      <c r="AM43" s="45" t="s">
        <v>125</v>
      </c>
    </row>
    <row r="44" spans="1:39" s="27" customFormat="1" ht="24.95" customHeight="1">
      <c r="A44" s="133" t="s">
        <v>278</v>
      </c>
      <c r="B44" s="37">
        <v>34</v>
      </c>
      <c r="C44" s="38" t="s">
        <v>45</v>
      </c>
      <c r="D44" s="205">
        <v>0</v>
      </c>
      <c r="E44" s="40">
        <v>45321</v>
      </c>
      <c r="F44" s="41"/>
      <c r="G44" s="40">
        <v>45321</v>
      </c>
      <c r="H44" s="41"/>
      <c r="I44" s="42" t="s">
        <v>126</v>
      </c>
      <c r="J44" s="42"/>
      <c r="K44" s="134">
        <v>9</v>
      </c>
      <c r="L44" s="134">
        <v>305</v>
      </c>
      <c r="M44" s="39" t="s">
        <v>46</v>
      </c>
      <c r="N44" s="43" t="s">
        <v>127</v>
      </c>
      <c r="O44" s="202"/>
      <c r="P44" s="135"/>
      <c r="Q44" s="135"/>
      <c r="R44" s="135"/>
      <c r="S44" s="135"/>
      <c r="T44" s="135"/>
      <c r="U44" s="135"/>
      <c r="V44" s="135"/>
      <c r="W44" s="135"/>
      <c r="X44" s="135"/>
      <c r="Y44" s="135"/>
      <c r="Z44" s="135"/>
      <c r="AA44" s="135"/>
      <c r="AB44" s="135"/>
      <c r="AC44" s="135"/>
      <c r="AD44" s="135"/>
      <c r="AE44" s="135"/>
      <c r="AF44" s="135"/>
      <c r="AG44" s="135"/>
      <c r="AH44" s="135"/>
      <c r="AI44" s="135"/>
      <c r="AJ44" s="44">
        <v>23</v>
      </c>
      <c r="AK44" s="44"/>
      <c r="AL44" s="44"/>
      <c r="AM44" s="42" t="s">
        <v>126</v>
      </c>
    </row>
    <row r="45" spans="1:39" s="27" customFormat="1" ht="40.5">
      <c r="A45" s="133" t="s">
        <v>278</v>
      </c>
      <c r="B45" s="37">
        <v>34</v>
      </c>
      <c r="C45" s="38" t="s">
        <v>45</v>
      </c>
      <c r="D45" s="205">
        <v>2</v>
      </c>
      <c r="E45" s="40">
        <v>45400</v>
      </c>
      <c r="F45" s="41">
        <v>0.54166666666666663</v>
      </c>
      <c r="G45" s="40">
        <v>45400</v>
      </c>
      <c r="H45" s="41">
        <v>0.69444444444444442</v>
      </c>
      <c r="I45" s="41">
        <f t="shared" ref="I45:I54" si="8">H45-F45</f>
        <v>0.15277777777777779</v>
      </c>
      <c r="J45" s="42">
        <f>I45*D45</f>
        <v>0.30555555555555558</v>
      </c>
      <c r="K45" s="57">
        <v>7</v>
      </c>
      <c r="L45" s="57">
        <v>508</v>
      </c>
      <c r="M45" s="39" t="s">
        <v>46</v>
      </c>
      <c r="N45" s="43" t="s">
        <v>140</v>
      </c>
      <c r="O45" s="200">
        <v>1</v>
      </c>
      <c r="P45" s="59"/>
      <c r="Q45" s="59">
        <v>1</v>
      </c>
      <c r="R45" s="59"/>
      <c r="S45" s="59"/>
      <c r="T45" s="59"/>
      <c r="U45" s="59"/>
      <c r="V45" s="59"/>
      <c r="W45" s="59"/>
      <c r="X45" s="59"/>
      <c r="Y45" s="59"/>
      <c r="Z45" s="59"/>
      <c r="AA45" s="59"/>
      <c r="AB45" s="59"/>
      <c r="AC45" s="59"/>
      <c r="AD45" s="59"/>
      <c r="AE45" s="59"/>
      <c r="AF45" s="59"/>
      <c r="AG45" s="59"/>
      <c r="AH45" s="59"/>
      <c r="AI45" s="59"/>
      <c r="AJ45" s="59"/>
      <c r="AK45" s="59"/>
      <c r="AL45" s="59"/>
      <c r="AM45" s="136"/>
    </row>
    <row r="46" spans="1:39" s="27" customFormat="1" ht="27">
      <c r="A46" s="133" t="s">
        <v>278</v>
      </c>
      <c r="B46" s="37">
        <v>35</v>
      </c>
      <c r="C46" s="137" t="s">
        <v>45</v>
      </c>
      <c r="D46" s="205">
        <v>2</v>
      </c>
      <c r="E46" s="55">
        <v>45401</v>
      </c>
      <c r="F46" s="56">
        <v>0.375</v>
      </c>
      <c r="G46" s="55">
        <v>45401</v>
      </c>
      <c r="H46" s="56">
        <v>0.60416666666666663</v>
      </c>
      <c r="I46" s="56">
        <f t="shared" si="8"/>
        <v>0.22916666666666663</v>
      </c>
      <c r="J46" s="64">
        <f>I46*D46</f>
        <v>0.45833333333333326</v>
      </c>
      <c r="K46" s="57">
        <v>5</v>
      </c>
      <c r="L46" s="57">
        <v>204</v>
      </c>
      <c r="M46" s="54" t="s">
        <v>46</v>
      </c>
      <c r="N46" s="58" t="s">
        <v>141</v>
      </c>
      <c r="O46" s="198">
        <v>2</v>
      </c>
      <c r="P46" s="59"/>
      <c r="Q46" s="59"/>
      <c r="R46" s="59"/>
      <c r="S46" s="59"/>
      <c r="T46" s="59">
        <v>3</v>
      </c>
      <c r="U46" s="59"/>
      <c r="V46" s="59">
        <v>1</v>
      </c>
      <c r="W46" s="59"/>
      <c r="X46" s="59"/>
      <c r="Y46" s="59"/>
      <c r="Z46" s="59"/>
      <c r="AA46" s="59"/>
      <c r="AB46" s="59"/>
      <c r="AC46" s="59"/>
      <c r="AD46" s="59"/>
      <c r="AE46" s="59"/>
      <c r="AF46" s="59"/>
      <c r="AG46" s="59"/>
      <c r="AH46" s="59"/>
      <c r="AI46" s="59"/>
      <c r="AJ46" s="59"/>
      <c r="AK46" s="59"/>
      <c r="AL46" s="59"/>
      <c r="AM46" s="60"/>
    </row>
    <row r="47" spans="1:39" s="27" customFormat="1" ht="27">
      <c r="A47" s="133" t="s">
        <v>278</v>
      </c>
      <c r="B47" s="37">
        <v>36</v>
      </c>
      <c r="C47" s="137"/>
      <c r="D47" s="205"/>
      <c r="E47" s="55"/>
      <c r="F47" s="56">
        <v>0.60416666666666663</v>
      </c>
      <c r="G47" s="55">
        <v>45401</v>
      </c>
      <c r="H47" s="56">
        <v>0.64583333333333337</v>
      </c>
      <c r="I47" s="56">
        <f t="shared" si="8"/>
        <v>4.1666666666666741E-2</v>
      </c>
      <c r="J47" s="64">
        <f>I47*D46</f>
        <v>8.3333333333333481E-2</v>
      </c>
      <c r="K47" s="57" t="s">
        <v>79</v>
      </c>
      <c r="L47" s="57" t="s">
        <v>142</v>
      </c>
      <c r="M47" s="54" t="s">
        <v>46</v>
      </c>
      <c r="N47" s="58" t="s">
        <v>143</v>
      </c>
      <c r="O47" s="199"/>
      <c r="P47" s="61"/>
      <c r="Q47" s="61"/>
      <c r="R47" s="61"/>
      <c r="S47" s="61"/>
      <c r="T47" s="61"/>
      <c r="U47" s="61"/>
      <c r="V47" s="61"/>
      <c r="W47" s="61"/>
      <c r="X47" s="61"/>
      <c r="Y47" s="61"/>
      <c r="Z47" s="61"/>
      <c r="AA47" s="61"/>
      <c r="AB47" s="61">
        <v>10</v>
      </c>
      <c r="AC47" s="61"/>
      <c r="AD47" s="61"/>
      <c r="AE47" s="61"/>
      <c r="AF47" s="61"/>
      <c r="AG47" s="61"/>
      <c r="AH47" s="61"/>
      <c r="AI47" s="61"/>
      <c r="AJ47" s="61"/>
      <c r="AK47" s="61"/>
      <c r="AL47" s="61"/>
      <c r="AM47" s="62"/>
    </row>
    <row r="48" spans="1:39" s="27" customFormat="1" ht="40.5">
      <c r="A48" s="133" t="s">
        <v>278</v>
      </c>
      <c r="B48" s="37">
        <v>37</v>
      </c>
      <c r="C48" s="38" t="s">
        <v>45</v>
      </c>
      <c r="D48" s="205">
        <v>1</v>
      </c>
      <c r="E48" s="40">
        <v>45404</v>
      </c>
      <c r="F48" s="41">
        <v>0.375</v>
      </c>
      <c r="G48" s="40">
        <v>45404</v>
      </c>
      <c r="H48" s="41">
        <v>0.67361111111111116</v>
      </c>
      <c r="I48" s="41">
        <f t="shared" si="8"/>
        <v>0.29861111111111116</v>
      </c>
      <c r="J48" s="42">
        <f t="shared" ref="J48:J54" si="9">I48*D48</f>
        <v>0.29861111111111116</v>
      </c>
      <c r="K48" s="57">
        <v>5</v>
      </c>
      <c r="L48" s="57">
        <v>104</v>
      </c>
      <c r="M48" s="39" t="s">
        <v>46</v>
      </c>
      <c r="N48" s="43" t="s">
        <v>144</v>
      </c>
      <c r="O48" s="199">
        <v>0.5</v>
      </c>
      <c r="P48" s="61">
        <v>7</v>
      </c>
      <c r="Q48" s="61"/>
      <c r="R48" s="61"/>
      <c r="S48" s="61"/>
      <c r="T48" s="61"/>
      <c r="U48" s="61"/>
      <c r="V48" s="61"/>
      <c r="W48" s="61"/>
      <c r="X48" s="61"/>
      <c r="Y48" s="61"/>
      <c r="Z48" s="61"/>
      <c r="AA48" s="61"/>
      <c r="AB48" s="61"/>
      <c r="AC48" s="61"/>
      <c r="AD48" s="61"/>
      <c r="AE48" s="61"/>
      <c r="AF48" s="61"/>
      <c r="AG48" s="61"/>
      <c r="AH48" s="61"/>
      <c r="AI48" s="61"/>
      <c r="AJ48" s="61"/>
      <c r="AK48" s="61"/>
      <c r="AL48" s="61"/>
      <c r="AM48" s="62"/>
    </row>
    <row r="49" spans="1:39" s="27" customFormat="1" ht="54">
      <c r="A49" s="133" t="s">
        <v>278</v>
      </c>
      <c r="B49" s="37">
        <v>38</v>
      </c>
      <c r="C49" s="38" t="s">
        <v>45</v>
      </c>
      <c r="D49" s="205">
        <v>2</v>
      </c>
      <c r="E49" s="40">
        <v>45405</v>
      </c>
      <c r="F49" s="41">
        <v>0.375</v>
      </c>
      <c r="G49" s="40">
        <v>45405</v>
      </c>
      <c r="H49" s="41">
        <v>0.6875</v>
      </c>
      <c r="I49" s="41">
        <f t="shared" si="8"/>
        <v>0.3125</v>
      </c>
      <c r="J49" s="42">
        <f t="shared" si="9"/>
        <v>0.625</v>
      </c>
      <c r="K49" s="57" t="s">
        <v>145</v>
      </c>
      <c r="L49" s="57" t="s">
        <v>146</v>
      </c>
      <c r="M49" s="39" t="s">
        <v>46</v>
      </c>
      <c r="N49" s="43" t="s">
        <v>147</v>
      </c>
      <c r="O49" s="199">
        <v>1</v>
      </c>
      <c r="P49" s="61">
        <v>5</v>
      </c>
      <c r="Q49" s="61"/>
      <c r="R49" s="61"/>
      <c r="S49" s="61"/>
      <c r="T49" s="61"/>
      <c r="U49" s="61"/>
      <c r="V49" s="61"/>
      <c r="W49" s="61">
        <v>3</v>
      </c>
      <c r="X49" s="61"/>
      <c r="Y49" s="61"/>
      <c r="Z49" s="61"/>
      <c r="AA49" s="61"/>
      <c r="AB49" s="61"/>
      <c r="AC49" s="61"/>
      <c r="AD49" s="61"/>
      <c r="AE49" s="61"/>
      <c r="AF49" s="61"/>
      <c r="AG49" s="61">
        <v>1</v>
      </c>
      <c r="AH49" s="61"/>
      <c r="AI49" s="61"/>
      <c r="AJ49" s="61"/>
      <c r="AK49" s="61"/>
      <c r="AL49" s="61"/>
      <c r="AM49" s="62"/>
    </row>
    <row r="50" spans="1:39" s="27" customFormat="1" ht="54">
      <c r="A50" s="133" t="s">
        <v>278</v>
      </c>
      <c r="B50" s="37">
        <v>39</v>
      </c>
      <c r="C50" s="38" t="s">
        <v>45</v>
      </c>
      <c r="D50" s="205">
        <v>2</v>
      </c>
      <c r="E50" s="40">
        <v>45406</v>
      </c>
      <c r="F50" s="41">
        <v>0.375</v>
      </c>
      <c r="G50" s="40">
        <v>45406</v>
      </c>
      <c r="H50" s="41">
        <v>0.68055555555555558</v>
      </c>
      <c r="I50" s="41">
        <f t="shared" si="8"/>
        <v>0.30555555555555558</v>
      </c>
      <c r="J50" s="42">
        <f t="shared" si="9"/>
        <v>0.61111111111111116</v>
      </c>
      <c r="K50" s="57">
        <v>8</v>
      </c>
      <c r="L50" s="57">
        <v>109</v>
      </c>
      <c r="M50" s="39" t="s">
        <v>46</v>
      </c>
      <c r="N50" s="43" t="s">
        <v>276</v>
      </c>
      <c r="O50" s="199">
        <v>1</v>
      </c>
      <c r="P50" s="61">
        <v>7</v>
      </c>
      <c r="Q50" s="61">
        <v>1</v>
      </c>
      <c r="R50" s="61">
        <v>2</v>
      </c>
      <c r="S50" s="48">
        <v>2</v>
      </c>
      <c r="T50" s="61"/>
      <c r="U50" s="61"/>
      <c r="V50" s="61"/>
      <c r="W50" s="61"/>
      <c r="X50" s="61"/>
      <c r="Y50" s="61"/>
      <c r="Z50" s="61"/>
      <c r="AA50" s="61"/>
      <c r="AB50" s="61"/>
      <c r="AC50" s="61"/>
      <c r="AD50" s="61"/>
      <c r="AE50" s="61"/>
      <c r="AF50" s="61"/>
      <c r="AG50" s="61">
        <v>1</v>
      </c>
      <c r="AH50" s="61"/>
      <c r="AI50" s="61"/>
      <c r="AJ50" s="61"/>
      <c r="AK50" s="61"/>
      <c r="AL50" s="61"/>
      <c r="AM50" s="62"/>
    </row>
    <row r="51" spans="1:39" s="27" customFormat="1" ht="67.5">
      <c r="A51" s="133" t="s">
        <v>278</v>
      </c>
      <c r="B51" s="37">
        <v>40</v>
      </c>
      <c r="C51" s="38" t="s">
        <v>45</v>
      </c>
      <c r="D51" s="205">
        <v>2</v>
      </c>
      <c r="E51" s="40">
        <v>45407</v>
      </c>
      <c r="F51" s="41">
        <v>0.375</v>
      </c>
      <c r="G51" s="40">
        <v>45407</v>
      </c>
      <c r="H51" s="41">
        <v>0.68055555555555558</v>
      </c>
      <c r="I51" s="41">
        <f t="shared" si="8"/>
        <v>0.30555555555555558</v>
      </c>
      <c r="J51" s="42">
        <f t="shared" si="9"/>
        <v>0.61111111111111116</v>
      </c>
      <c r="K51" s="57">
        <v>9</v>
      </c>
      <c r="L51" s="57">
        <v>505</v>
      </c>
      <c r="M51" s="39" t="s">
        <v>46</v>
      </c>
      <c r="N51" s="43" t="s">
        <v>148</v>
      </c>
      <c r="O51" s="199">
        <v>1</v>
      </c>
      <c r="P51" s="61">
        <v>7</v>
      </c>
      <c r="Q51" s="61">
        <v>2</v>
      </c>
      <c r="R51" s="61"/>
      <c r="S51" s="61"/>
      <c r="T51" s="61"/>
      <c r="U51" s="61"/>
      <c r="V51" s="61"/>
      <c r="W51" s="61">
        <v>1</v>
      </c>
      <c r="X51" s="61"/>
      <c r="Y51" s="61"/>
      <c r="Z51" s="61">
        <v>1</v>
      </c>
      <c r="AA51" s="61"/>
      <c r="AB51" s="61"/>
      <c r="AC51" s="61"/>
      <c r="AD51" s="61"/>
      <c r="AE51" s="61"/>
      <c r="AF51" s="61"/>
      <c r="AG51" s="61">
        <v>1</v>
      </c>
      <c r="AH51" s="61"/>
      <c r="AI51" s="61"/>
      <c r="AJ51" s="61"/>
      <c r="AK51" s="61"/>
      <c r="AL51" s="61"/>
      <c r="AM51" s="62"/>
    </row>
    <row r="52" spans="1:39" s="27" customFormat="1" ht="40.5">
      <c r="A52" s="133" t="s">
        <v>278</v>
      </c>
      <c r="B52" s="37">
        <v>41</v>
      </c>
      <c r="C52" s="38" t="s">
        <v>45</v>
      </c>
      <c r="D52" s="205">
        <v>2</v>
      </c>
      <c r="E52" s="40">
        <v>45419</v>
      </c>
      <c r="F52" s="41">
        <v>0.60416666666666663</v>
      </c>
      <c r="G52" s="40">
        <v>45419</v>
      </c>
      <c r="H52" s="41">
        <v>0.68055555555555558</v>
      </c>
      <c r="I52" s="41">
        <f t="shared" si="8"/>
        <v>7.6388888888888951E-2</v>
      </c>
      <c r="J52" s="42">
        <f t="shared" si="9"/>
        <v>0.1527777777777779</v>
      </c>
      <c r="K52" s="57">
        <v>5</v>
      </c>
      <c r="L52" s="57">
        <v>102</v>
      </c>
      <c r="M52" s="39" t="s">
        <v>46</v>
      </c>
      <c r="N52" s="43" t="s">
        <v>149</v>
      </c>
      <c r="O52" s="199">
        <v>1</v>
      </c>
      <c r="P52" s="61">
        <v>4</v>
      </c>
      <c r="Q52" s="61">
        <v>1</v>
      </c>
      <c r="R52" s="61"/>
      <c r="S52" s="61"/>
      <c r="T52" s="61"/>
      <c r="U52" s="61"/>
      <c r="V52" s="61"/>
      <c r="W52" s="61"/>
      <c r="X52" s="61"/>
      <c r="Y52" s="61"/>
      <c r="Z52" s="61"/>
      <c r="AA52" s="61"/>
      <c r="AB52" s="61"/>
      <c r="AC52" s="61"/>
      <c r="AD52" s="61"/>
      <c r="AE52" s="61"/>
      <c r="AF52" s="61"/>
      <c r="AG52" s="61"/>
      <c r="AH52" s="61"/>
      <c r="AI52" s="61"/>
      <c r="AJ52" s="61"/>
      <c r="AK52" s="61"/>
      <c r="AL52" s="61"/>
      <c r="AM52" s="62"/>
    </row>
    <row r="53" spans="1:39" s="27" customFormat="1" ht="67.5">
      <c r="A53" s="133" t="s">
        <v>278</v>
      </c>
      <c r="B53" s="37">
        <v>42</v>
      </c>
      <c r="C53" s="38" t="s">
        <v>45</v>
      </c>
      <c r="D53" s="205">
        <v>2</v>
      </c>
      <c r="E53" s="40">
        <v>45420</v>
      </c>
      <c r="F53" s="41">
        <v>0.375</v>
      </c>
      <c r="G53" s="40">
        <v>45420</v>
      </c>
      <c r="H53" s="41">
        <v>0.68055555555555558</v>
      </c>
      <c r="I53" s="41">
        <f t="shared" si="8"/>
        <v>0.30555555555555558</v>
      </c>
      <c r="J53" s="42">
        <f t="shared" si="9"/>
        <v>0.61111111111111116</v>
      </c>
      <c r="K53" s="57" t="s">
        <v>150</v>
      </c>
      <c r="L53" s="57" t="s">
        <v>151</v>
      </c>
      <c r="M53" s="39" t="s">
        <v>46</v>
      </c>
      <c r="N53" s="43" t="s">
        <v>152</v>
      </c>
      <c r="O53" s="199">
        <v>1</v>
      </c>
      <c r="P53" s="61">
        <v>10</v>
      </c>
      <c r="Q53" s="61">
        <v>2</v>
      </c>
      <c r="R53" s="61"/>
      <c r="S53" s="61"/>
      <c r="T53" s="61"/>
      <c r="U53" s="61"/>
      <c r="V53" s="61"/>
      <c r="W53" s="61">
        <v>1</v>
      </c>
      <c r="X53" s="61"/>
      <c r="Y53" s="61"/>
      <c r="Z53" s="61"/>
      <c r="AA53" s="61"/>
      <c r="AB53" s="61"/>
      <c r="AC53" s="61"/>
      <c r="AD53" s="61"/>
      <c r="AE53" s="61"/>
      <c r="AF53" s="61"/>
      <c r="AG53" s="61"/>
      <c r="AH53" s="61"/>
      <c r="AI53" s="61"/>
      <c r="AJ53" s="61"/>
      <c r="AK53" s="61"/>
      <c r="AL53" s="61"/>
      <c r="AM53" s="62"/>
    </row>
    <row r="54" spans="1:39" s="27" customFormat="1" ht="40.5">
      <c r="A54" s="133" t="s">
        <v>278</v>
      </c>
      <c r="B54" s="37">
        <v>43</v>
      </c>
      <c r="C54" s="38" t="s">
        <v>45</v>
      </c>
      <c r="D54" s="205">
        <v>2</v>
      </c>
      <c r="E54" s="40">
        <v>45421</v>
      </c>
      <c r="F54" s="41">
        <v>0.375</v>
      </c>
      <c r="G54" s="40">
        <v>45421</v>
      </c>
      <c r="H54" s="41">
        <v>0.6875</v>
      </c>
      <c r="I54" s="41">
        <f t="shared" si="8"/>
        <v>0.3125</v>
      </c>
      <c r="J54" s="42">
        <f t="shared" si="9"/>
        <v>0.625</v>
      </c>
      <c r="K54" s="57" t="s">
        <v>150</v>
      </c>
      <c r="L54" s="57" t="s">
        <v>151</v>
      </c>
      <c r="M54" s="39" t="s">
        <v>46</v>
      </c>
      <c r="N54" s="43" t="s">
        <v>153</v>
      </c>
      <c r="O54" s="199">
        <v>1</v>
      </c>
      <c r="P54" s="48"/>
      <c r="Q54" s="48"/>
      <c r="R54" s="48">
        <v>1</v>
      </c>
      <c r="S54" s="48">
        <v>1</v>
      </c>
      <c r="T54" s="48">
        <v>0.5</v>
      </c>
      <c r="U54" s="48"/>
      <c r="V54" s="48">
        <v>0.2</v>
      </c>
      <c r="W54" s="48"/>
      <c r="X54" s="48"/>
      <c r="Y54" s="48"/>
      <c r="Z54" s="48"/>
      <c r="AA54" s="48"/>
      <c r="AB54" s="48"/>
      <c r="AC54" s="48"/>
      <c r="AD54" s="48"/>
      <c r="AE54" s="48"/>
      <c r="AF54" s="48"/>
      <c r="AG54" s="48">
        <v>1</v>
      </c>
      <c r="AH54" s="48"/>
      <c r="AI54" s="48"/>
      <c r="AJ54" s="48"/>
      <c r="AK54" s="48"/>
      <c r="AL54" s="48"/>
      <c r="AM54" s="63"/>
    </row>
    <row r="55" spans="1:39" s="27" customFormat="1" ht="40.5">
      <c r="A55" s="133" t="s">
        <v>278</v>
      </c>
      <c r="B55" s="37"/>
      <c r="C55" s="38"/>
      <c r="D55" s="205"/>
      <c r="E55" s="40"/>
      <c r="F55" s="41"/>
      <c r="G55" s="40"/>
      <c r="H55" s="41"/>
      <c r="I55" s="41"/>
      <c r="J55" s="42"/>
      <c r="K55" s="57">
        <v>8</v>
      </c>
      <c r="L55" s="57">
        <v>301</v>
      </c>
      <c r="M55" s="39" t="s">
        <v>46</v>
      </c>
      <c r="N55" s="43" t="s">
        <v>154</v>
      </c>
      <c r="O55" s="199"/>
      <c r="P55" s="48">
        <v>7</v>
      </c>
      <c r="Q55" s="48"/>
      <c r="R55" s="48"/>
      <c r="S55" s="48"/>
      <c r="T55" s="48">
        <v>0.5</v>
      </c>
      <c r="U55" s="48"/>
      <c r="V55" s="48">
        <v>0.2</v>
      </c>
      <c r="W55" s="48">
        <v>1</v>
      </c>
      <c r="X55" s="48"/>
      <c r="Y55" s="48"/>
      <c r="Z55" s="48"/>
      <c r="AA55" s="48"/>
      <c r="AB55" s="48"/>
      <c r="AC55" s="48"/>
      <c r="AD55" s="48"/>
      <c r="AE55" s="48"/>
      <c r="AF55" s="48"/>
      <c r="AG55" s="48"/>
      <c r="AH55" s="48"/>
      <c r="AI55" s="48"/>
      <c r="AJ55" s="48"/>
      <c r="AK55" s="48"/>
      <c r="AL55" s="48"/>
      <c r="AM55" s="63"/>
    </row>
    <row r="56" spans="1:39" s="27" customFormat="1" ht="40.5">
      <c r="A56" s="133" t="s">
        <v>278</v>
      </c>
      <c r="B56" s="37">
        <v>44</v>
      </c>
      <c r="C56" s="38" t="s">
        <v>45</v>
      </c>
      <c r="D56" s="205">
        <v>2</v>
      </c>
      <c r="E56" s="40">
        <v>45422</v>
      </c>
      <c r="F56" s="41">
        <v>0.375</v>
      </c>
      <c r="G56" s="40">
        <v>45422</v>
      </c>
      <c r="H56" s="41">
        <v>0.69444444444444442</v>
      </c>
      <c r="I56" s="41">
        <f t="shared" ref="I56:I62" si="10">H56-F56</f>
        <v>0.31944444444444442</v>
      </c>
      <c r="J56" s="42">
        <f t="shared" ref="J56:J62" si="11">I56*D56</f>
        <v>0.63888888888888884</v>
      </c>
      <c r="K56" s="57">
        <v>8</v>
      </c>
      <c r="L56" s="57">
        <v>305</v>
      </c>
      <c r="M56" s="39" t="s">
        <v>46</v>
      </c>
      <c r="N56" s="58" t="s">
        <v>155</v>
      </c>
      <c r="O56" s="199">
        <v>1</v>
      </c>
      <c r="P56" s="61">
        <v>7</v>
      </c>
      <c r="Q56" s="61">
        <v>2</v>
      </c>
      <c r="R56" s="61"/>
      <c r="S56" s="61"/>
      <c r="T56" s="61"/>
      <c r="U56" s="61"/>
      <c r="V56" s="61"/>
      <c r="W56" s="61"/>
      <c r="X56" s="61"/>
      <c r="Y56" s="61"/>
      <c r="Z56" s="61"/>
      <c r="AA56" s="61"/>
      <c r="AB56" s="61"/>
      <c r="AC56" s="61"/>
      <c r="AD56" s="61"/>
      <c r="AE56" s="61"/>
      <c r="AF56" s="61"/>
      <c r="AG56" s="61"/>
      <c r="AH56" s="61"/>
      <c r="AI56" s="61"/>
      <c r="AJ56" s="61"/>
      <c r="AK56" s="61"/>
      <c r="AL56" s="61"/>
      <c r="AM56" s="62"/>
    </row>
    <row r="57" spans="1:39" s="27" customFormat="1" ht="27">
      <c r="A57" s="133" t="s">
        <v>278</v>
      </c>
      <c r="B57" s="37">
        <v>45</v>
      </c>
      <c r="C57" s="137" t="s">
        <v>45</v>
      </c>
      <c r="D57" s="205">
        <v>1</v>
      </c>
      <c r="E57" s="55">
        <v>45422</v>
      </c>
      <c r="F57" s="56">
        <v>0.70833333333333337</v>
      </c>
      <c r="G57" s="55">
        <v>45422</v>
      </c>
      <c r="H57" s="56">
        <v>0.76388888888888884</v>
      </c>
      <c r="I57" s="56">
        <f t="shared" si="10"/>
        <v>5.5555555555555469E-2</v>
      </c>
      <c r="J57" s="64">
        <f t="shared" si="11"/>
        <v>5.5555555555555469E-2</v>
      </c>
      <c r="K57" s="57" t="s">
        <v>156</v>
      </c>
      <c r="L57" s="57" t="s">
        <v>157</v>
      </c>
      <c r="M57" s="54" t="s">
        <v>46</v>
      </c>
      <c r="N57" s="58" t="s">
        <v>158</v>
      </c>
      <c r="O57" s="199"/>
      <c r="P57" s="61"/>
      <c r="Q57" s="61"/>
      <c r="R57" s="61"/>
      <c r="S57" s="61"/>
      <c r="T57" s="61"/>
      <c r="U57" s="61"/>
      <c r="V57" s="61"/>
      <c r="W57" s="61"/>
      <c r="X57" s="61"/>
      <c r="Y57" s="61"/>
      <c r="Z57" s="61"/>
      <c r="AA57" s="61"/>
      <c r="AB57" s="61"/>
      <c r="AC57" s="61"/>
      <c r="AD57" s="61"/>
      <c r="AE57" s="61"/>
      <c r="AF57" s="61"/>
      <c r="AG57" s="61"/>
      <c r="AH57" s="61"/>
      <c r="AI57" s="61"/>
      <c r="AJ57" s="61"/>
      <c r="AK57" s="61"/>
      <c r="AL57" s="61"/>
      <c r="AM57" s="62" t="s">
        <v>159</v>
      </c>
    </row>
    <row r="58" spans="1:39" s="27" customFormat="1" ht="40.5">
      <c r="A58" s="133" t="s">
        <v>278</v>
      </c>
      <c r="B58" s="37">
        <v>46</v>
      </c>
      <c r="C58" s="38" t="s">
        <v>45</v>
      </c>
      <c r="D58" s="205">
        <v>2</v>
      </c>
      <c r="E58" s="40">
        <v>45425</v>
      </c>
      <c r="F58" s="41">
        <v>0.54166666666666663</v>
      </c>
      <c r="G58" s="40">
        <v>45425</v>
      </c>
      <c r="H58" s="41">
        <v>0.69444444444444442</v>
      </c>
      <c r="I58" s="41">
        <f t="shared" si="10"/>
        <v>0.15277777777777779</v>
      </c>
      <c r="J58" s="42">
        <f t="shared" si="11"/>
        <v>0.30555555555555558</v>
      </c>
      <c r="K58" s="57">
        <v>9</v>
      </c>
      <c r="L58" s="57">
        <v>104</v>
      </c>
      <c r="M58" s="39" t="s">
        <v>46</v>
      </c>
      <c r="N58" s="43" t="s">
        <v>129</v>
      </c>
      <c r="O58" s="199">
        <v>1</v>
      </c>
      <c r="P58" s="61">
        <v>7</v>
      </c>
      <c r="Q58" s="61">
        <v>3</v>
      </c>
      <c r="R58" s="61"/>
      <c r="S58" s="61"/>
      <c r="T58" s="61"/>
      <c r="U58" s="61"/>
      <c r="V58" s="61"/>
      <c r="W58" s="61"/>
      <c r="X58" s="61"/>
      <c r="Y58" s="61"/>
      <c r="Z58" s="61"/>
      <c r="AA58" s="61"/>
      <c r="AB58" s="61"/>
      <c r="AC58" s="61"/>
      <c r="AD58" s="61"/>
      <c r="AE58" s="61"/>
      <c r="AF58" s="61"/>
      <c r="AG58" s="61"/>
      <c r="AH58" s="61"/>
      <c r="AI58" s="61"/>
      <c r="AJ58" s="61"/>
      <c r="AK58" s="61"/>
      <c r="AL58" s="61"/>
      <c r="AM58" s="62"/>
    </row>
    <row r="59" spans="1:39" s="27" customFormat="1" ht="54">
      <c r="A59" s="133" t="s">
        <v>278</v>
      </c>
      <c r="B59" s="37">
        <v>47</v>
      </c>
      <c r="C59" s="38" t="s">
        <v>45</v>
      </c>
      <c r="D59" s="205">
        <v>2</v>
      </c>
      <c r="E59" s="40">
        <v>45432</v>
      </c>
      <c r="F59" s="41">
        <v>0.375</v>
      </c>
      <c r="G59" s="40">
        <v>45432</v>
      </c>
      <c r="H59" s="41">
        <v>0.58333333333333337</v>
      </c>
      <c r="I59" s="41">
        <f t="shared" si="10"/>
        <v>0.20833333333333337</v>
      </c>
      <c r="J59" s="42">
        <f t="shared" si="11"/>
        <v>0.41666666666666674</v>
      </c>
      <c r="K59" s="57">
        <v>9</v>
      </c>
      <c r="L59" s="57">
        <v>104</v>
      </c>
      <c r="M59" s="39" t="s">
        <v>46</v>
      </c>
      <c r="N59" s="58" t="s">
        <v>130</v>
      </c>
      <c r="O59" s="199">
        <v>2</v>
      </c>
      <c r="P59" s="61"/>
      <c r="Q59" s="61"/>
      <c r="R59" s="61"/>
      <c r="S59" s="61"/>
      <c r="T59" s="61">
        <v>0.5</v>
      </c>
      <c r="U59" s="61"/>
      <c r="V59" s="48">
        <v>0.2</v>
      </c>
      <c r="W59" s="61"/>
      <c r="X59" s="61"/>
      <c r="Y59" s="61">
        <v>7.2</v>
      </c>
      <c r="Z59" s="61"/>
      <c r="AA59" s="61"/>
      <c r="AB59" s="61"/>
      <c r="AC59" s="61"/>
      <c r="AD59" s="61"/>
      <c r="AE59" s="61"/>
      <c r="AF59" s="61"/>
      <c r="AG59" s="61"/>
      <c r="AH59" s="61"/>
      <c r="AI59" s="61"/>
      <c r="AJ59" s="61"/>
      <c r="AK59" s="61"/>
      <c r="AL59" s="61"/>
      <c r="AM59" s="62"/>
    </row>
    <row r="60" spans="1:39" s="27" customFormat="1" ht="27">
      <c r="A60" s="133" t="s">
        <v>278</v>
      </c>
      <c r="B60" s="37"/>
      <c r="C60" s="38"/>
      <c r="D60" s="205">
        <v>2</v>
      </c>
      <c r="E60" s="40">
        <v>45432</v>
      </c>
      <c r="F60" s="41">
        <v>0.58333333333333337</v>
      </c>
      <c r="G60" s="40">
        <v>45432</v>
      </c>
      <c r="H60" s="41">
        <v>0.69444444444444442</v>
      </c>
      <c r="I60" s="41">
        <f t="shared" si="10"/>
        <v>0.11111111111111105</v>
      </c>
      <c r="J60" s="42">
        <f t="shared" si="11"/>
        <v>0.2222222222222221</v>
      </c>
      <c r="K60" s="57">
        <v>2</v>
      </c>
      <c r="L60" s="57">
        <v>306</v>
      </c>
      <c r="M60" s="39" t="s">
        <v>46</v>
      </c>
      <c r="N60" s="43" t="s">
        <v>131</v>
      </c>
      <c r="O60" s="199"/>
      <c r="P60" s="61"/>
      <c r="Q60" s="61"/>
      <c r="R60" s="61"/>
      <c r="S60" s="61"/>
      <c r="T60" s="61"/>
      <c r="U60" s="61"/>
      <c r="V60" s="61"/>
      <c r="W60" s="61"/>
      <c r="X60" s="61"/>
      <c r="Y60" s="61"/>
      <c r="Z60" s="61"/>
      <c r="AA60" s="61"/>
      <c r="AB60" s="61"/>
      <c r="AC60" s="61"/>
      <c r="AD60" s="61"/>
      <c r="AE60" s="61"/>
      <c r="AF60" s="61"/>
      <c r="AG60" s="61"/>
      <c r="AH60" s="61"/>
      <c r="AI60" s="61"/>
      <c r="AJ60" s="61"/>
      <c r="AK60" s="61"/>
      <c r="AL60" s="61">
        <v>1</v>
      </c>
      <c r="AM60" s="62"/>
    </row>
    <row r="61" spans="1:39" s="27" customFormat="1" ht="54">
      <c r="A61" s="133" t="s">
        <v>278</v>
      </c>
      <c r="B61" s="37">
        <v>48</v>
      </c>
      <c r="C61" s="38" t="s">
        <v>45</v>
      </c>
      <c r="D61" s="205">
        <v>2</v>
      </c>
      <c r="E61" s="40">
        <v>45433</v>
      </c>
      <c r="F61" s="41">
        <v>0.375</v>
      </c>
      <c r="G61" s="40">
        <v>45433</v>
      </c>
      <c r="H61" s="41">
        <v>0.5</v>
      </c>
      <c r="I61" s="41">
        <f t="shared" si="10"/>
        <v>0.125</v>
      </c>
      <c r="J61" s="42">
        <f t="shared" si="11"/>
        <v>0.25</v>
      </c>
      <c r="K61" s="57">
        <v>9</v>
      </c>
      <c r="L61" s="57">
        <v>104</v>
      </c>
      <c r="M61" s="39" t="s">
        <v>46</v>
      </c>
      <c r="N61" s="58" t="s">
        <v>132</v>
      </c>
      <c r="O61" s="199">
        <v>2</v>
      </c>
      <c r="P61" s="61"/>
      <c r="Q61" s="61"/>
      <c r="R61" s="61"/>
      <c r="S61" s="61"/>
      <c r="T61" s="61"/>
      <c r="U61" s="61"/>
      <c r="V61" s="61"/>
      <c r="W61" s="61"/>
      <c r="X61" s="61"/>
      <c r="Y61" s="61"/>
      <c r="Z61" s="61"/>
      <c r="AA61" s="61"/>
      <c r="AB61" s="61"/>
      <c r="AC61" s="61"/>
      <c r="AD61" s="61"/>
      <c r="AE61" s="61"/>
      <c r="AF61" s="61"/>
      <c r="AG61" s="61"/>
      <c r="AH61" s="61"/>
      <c r="AI61" s="61"/>
      <c r="AJ61" s="61"/>
      <c r="AK61" s="61"/>
      <c r="AL61" s="61"/>
      <c r="AM61" s="62"/>
    </row>
    <row r="62" spans="1:39" s="27" customFormat="1" ht="27">
      <c r="A62" s="133" t="s">
        <v>278</v>
      </c>
      <c r="B62" s="37">
        <v>49</v>
      </c>
      <c r="C62" s="38" t="s">
        <v>45</v>
      </c>
      <c r="D62" s="205">
        <v>2</v>
      </c>
      <c r="E62" s="40">
        <v>45434</v>
      </c>
      <c r="F62" s="41">
        <v>0.375</v>
      </c>
      <c r="G62" s="40">
        <v>45434</v>
      </c>
      <c r="H62" s="41">
        <v>0.70138888888888884</v>
      </c>
      <c r="I62" s="41">
        <f t="shared" si="10"/>
        <v>0.32638888888888884</v>
      </c>
      <c r="J62" s="42">
        <f t="shared" si="11"/>
        <v>0.65277777777777768</v>
      </c>
      <c r="K62" s="57">
        <v>9</v>
      </c>
      <c r="L62" s="57">
        <v>104</v>
      </c>
      <c r="M62" s="39" t="s">
        <v>46</v>
      </c>
      <c r="N62" s="43" t="s">
        <v>133</v>
      </c>
      <c r="O62" s="199">
        <v>2</v>
      </c>
      <c r="P62" s="61"/>
      <c r="Q62" s="61"/>
      <c r="R62" s="61"/>
      <c r="S62" s="61"/>
      <c r="T62" s="61"/>
      <c r="U62" s="61"/>
      <c r="V62" s="61"/>
      <c r="W62" s="61"/>
      <c r="X62" s="61"/>
      <c r="Y62" s="61"/>
      <c r="Z62" s="61"/>
      <c r="AA62" s="61"/>
      <c r="AB62" s="61"/>
      <c r="AC62" s="61"/>
      <c r="AD62" s="61"/>
      <c r="AE62" s="61"/>
      <c r="AF62" s="61"/>
      <c r="AG62" s="61"/>
      <c r="AH62" s="61"/>
      <c r="AI62" s="61"/>
      <c r="AJ62" s="61"/>
      <c r="AK62" s="61"/>
      <c r="AL62" s="61"/>
      <c r="AM62" s="62"/>
    </row>
    <row r="63" spans="1:39" s="27" customFormat="1" ht="27">
      <c r="A63" s="133" t="s">
        <v>278</v>
      </c>
      <c r="B63" s="37"/>
      <c r="C63" s="38"/>
      <c r="D63" s="205"/>
      <c r="E63" s="40"/>
      <c r="F63" s="41"/>
      <c r="G63" s="40"/>
      <c r="H63" s="41"/>
      <c r="I63" s="41"/>
      <c r="J63" s="42"/>
      <c r="K63" s="57">
        <v>9</v>
      </c>
      <c r="L63" s="57">
        <v>201</v>
      </c>
      <c r="M63" s="39" t="s">
        <v>46</v>
      </c>
      <c r="N63" s="43" t="s">
        <v>134</v>
      </c>
      <c r="O63" s="199"/>
      <c r="P63" s="61"/>
      <c r="Q63" s="61">
        <v>1</v>
      </c>
      <c r="R63" s="61"/>
      <c r="S63" s="61"/>
      <c r="T63" s="61"/>
      <c r="U63" s="61"/>
      <c r="V63" s="61"/>
      <c r="W63" s="61"/>
      <c r="X63" s="61"/>
      <c r="Y63" s="61"/>
      <c r="Z63" s="61"/>
      <c r="AA63" s="61"/>
      <c r="AB63" s="61"/>
      <c r="AC63" s="61"/>
      <c r="AD63" s="61"/>
      <c r="AE63" s="61"/>
      <c r="AF63" s="61"/>
      <c r="AG63" s="61">
        <v>1</v>
      </c>
      <c r="AH63" s="61"/>
      <c r="AI63" s="61"/>
      <c r="AJ63" s="61"/>
      <c r="AK63" s="61"/>
      <c r="AL63" s="61"/>
      <c r="AM63" s="62"/>
    </row>
    <row r="64" spans="1:39" s="27" customFormat="1" ht="40.5">
      <c r="A64" s="133" t="s">
        <v>278</v>
      </c>
      <c r="B64" s="37">
        <v>50</v>
      </c>
      <c r="C64" s="38" t="s">
        <v>45</v>
      </c>
      <c r="D64" s="205">
        <v>2</v>
      </c>
      <c r="E64" s="40">
        <v>45436</v>
      </c>
      <c r="F64" s="41">
        <v>0.375</v>
      </c>
      <c r="G64" s="40">
        <v>45436</v>
      </c>
      <c r="H64" s="41">
        <v>0.69444444444444442</v>
      </c>
      <c r="I64" s="41">
        <f>H64-F64</f>
        <v>0.31944444444444442</v>
      </c>
      <c r="J64" s="42">
        <f>I64*D64</f>
        <v>0.63888888888888884</v>
      </c>
      <c r="K64" s="57" t="s">
        <v>160</v>
      </c>
      <c r="L64" s="57" t="s">
        <v>161</v>
      </c>
      <c r="M64" s="39" t="s">
        <v>46</v>
      </c>
      <c r="N64" s="43" t="s">
        <v>135</v>
      </c>
      <c r="O64" s="199">
        <v>2</v>
      </c>
      <c r="P64" s="61">
        <v>7</v>
      </c>
      <c r="Q64" s="61"/>
      <c r="R64" s="61"/>
      <c r="S64" s="61"/>
      <c r="T64" s="61"/>
      <c r="U64" s="61"/>
      <c r="V64" s="61"/>
      <c r="W64" s="61">
        <v>1</v>
      </c>
      <c r="X64" s="61"/>
      <c r="Y64" s="61"/>
      <c r="Z64" s="61"/>
      <c r="AA64" s="61"/>
      <c r="AB64" s="61"/>
      <c r="AC64" s="61"/>
      <c r="AD64" s="61"/>
      <c r="AE64" s="61"/>
      <c r="AF64" s="61"/>
      <c r="AG64" s="61"/>
      <c r="AH64" s="61"/>
      <c r="AI64" s="61"/>
      <c r="AJ64" s="61"/>
      <c r="AK64" s="61"/>
      <c r="AL64" s="61"/>
      <c r="AM64" s="62"/>
    </row>
    <row r="65" spans="1:39" s="27" customFormat="1" ht="54">
      <c r="A65" s="133" t="s">
        <v>278</v>
      </c>
      <c r="B65" s="37"/>
      <c r="C65" s="38"/>
      <c r="D65" s="205"/>
      <c r="E65" s="40"/>
      <c r="F65" s="41"/>
      <c r="G65" s="40"/>
      <c r="H65" s="41"/>
      <c r="I65" s="41"/>
      <c r="J65" s="42"/>
      <c r="K65" s="57">
        <v>101</v>
      </c>
      <c r="L65" s="57">
        <v>201</v>
      </c>
      <c r="M65" s="39" t="s">
        <v>46</v>
      </c>
      <c r="N65" s="43" t="s">
        <v>136</v>
      </c>
      <c r="O65" s="199" t="s">
        <v>71</v>
      </c>
      <c r="P65" s="61">
        <v>1</v>
      </c>
      <c r="Q65" s="61">
        <v>2</v>
      </c>
      <c r="R65" s="61"/>
      <c r="S65" s="61"/>
      <c r="T65" s="61"/>
      <c r="U65" s="61">
        <v>0.5</v>
      </c>
      <c r="V65" s="61"/>
      <c r="W65" s="61"/>
      <c r="X65" s="61">
        <v>2.4</v>
      </c>
      <c r="Y65" s="61"/>
      <c r="Z65" s="61"/>
      <c r="AA65" s="61"/>
      <c r="AB65" s="61"/>
      <c r="AC65" s="61"/>
      <c r="AD65" s="61"/>
      <c r="AE65" s="61"/>
      <c r="AF65" s="61"/>
      <c r="AG65" s="61"/>
      <c r="AH65" s="61"/>
      <c r="AI65" s="61"/>
      <c r="AJ65" s="61"/>
      <c r="AK65" s="61"/>
      <c r="AL65" s="61"/>
      <c r="AM65" s="62"/>
    </row>
    <row r="66" spans="1:39" s="27" customFormat="1" ht="70.5" customHeight="1">
      <c r="A66" s="133" t="s">
        <v>278</v>
      </c>
      <c r="B66" s="37"/>
      <c r="C66" s="38"/>
      <c r="D66" s="205">
        <v>1</v>
      </c>
      <c r="E66" s="40">
        <v>45436</v>
      </c>
      <c r="F66" s="41">
        <v>0.59722222222222221</v>
      </c>
      <c r="G66" s="40">
        <v>45436</v>
      </c>
      <c r="H66" s="41">
        <v>0.6875</v>
      </c>
      <c r="I66" s="41">
        <f t="shared" ref="I66:I82" si="12">H66-F66</f>
        <v>9.027777777777779E-2</v>
      </c>
      <c r="J66" s="65"/>
      <c r="K66" s="57">
        <v>8</v>
      </c>
      <c r="L66" s="57">
        <v>506</v>
      </c>
      <c r="M66" s="39" t="s">
        <v>46</v>
      </c>
      <c r="N66" s="43" t="s">
        <v>162</v>
      </c>
      <c r="O66" s="199" t="s">
        <v>71</v>
      </c>
      <c r="P66" s="48"/>
      <c r="Q66" s="48"/>
      <c r="R66" s="48"/>
      <c r="S66" s="48"/>
      <c r="T66" s="48"/>
      <c r="U66" s="48"/>
      <c r="V66" s="48"/>
      <c r="W66" s="48"/>
      <c r="X66" s="48"/>
      <c r="Y66" s="48"/>
      <c r="Z66" s="48"/>
      <c r="AA66" s="48"/>
      <c r="AB66" s="48"/>
      <c r="AC66" s="48"/>
      <c r="AD66" s="48"/>
      <c r="AE66" s="48"/>
      <c r="AF66" s="48"/>
      <c r="AG66" s="48"/>
      <c r="AH66" s="48"/>
      <c r="AI66" s="48"/>
      <c r="AJ66" s="48">
        <v>18</v>
      </c>
      <c r="AK66" s="48"/>
      <c r="AL66" s="48"/>
      <c r="AM66" s="66" t="s">
        <v>163</v>
      </c>
    </row>
    <row r="67" spans="1:39" s="27" customFormat="1" ht="40.5">
      <c r="A67" s="133" t="s">
        <v>278</v>
      </c>
      <c r="B67" s="37">
        <v>51</v>
      </c>
      <c r="C67" s="38" t="s">
        <v>45</v>
      </c>
      <c r="D67" s="205">
        <v>2</v>
      </c>
      <c r="E67" s="40">
        <v>45439</v>
      </c>
      <c r="F67" s="41">
        <v>0.375</v>
      </c>
      <c r="G67" s="40">
        <v>45439</v>
      </c>
      <c r="H67" s="41">
        <v>0.5</v>
      </c>
      <c r="I67" s="41">
        <f t="shared" si="12"/>
        <v>0.125</v>
      </c>
      <c r="J67" s="42">
        <f t="shared" ref="J67:J82" si="13">I67*D67</f>
        <v>0.25</v>
      </c>
      <c r="K67" s="57">
        <v>102</v>
      </c>
      <c r="L67" s="57">
        <v>301</v>
      </c>
      <c r="M67" s="39" t="s">
        <v>46</v>
      </c>
      <c r="N67" s="43" t="s">
        <v>137</v>
      </c>
      <c r="O67" s="199">
        <v>1</v>
      </c>
      <c r="P67" s="61">
        <v>3</v>
      </c>
      <c r="Q67" s="61">
        <v>2</v>
      </c>
      <c r="R67" s="61"/>
      <c r="S67" s="61"/>
      <c r="T67" s="61"/>
      <c r="U67" s="61"/>
      <c r="V67" s="61"/>
      <c r="W67" s="61"/>
      <c r="X67" s="61"/>
      <c r="Y67" s="61"/>
      <c r="Z67" s="61"/>
      <c r="AA67" s="61"/>
      <c r="AB67" s="61"/>
      <c r="AC67" s="61"/>
      <c r="AD67" s="61"/>
      <c r="AE67" s="61"/>
      <c r="AF67" s="61"/>
      <c r="AG67" s="61"/>
      <c r="AH67" s="61"/>
      <c r="AI67" s="61"/>
      <c r="AJ67" s="61"/>
      <c r="AK67" s="61"/>
      <c r="AL67" s="61"/>
      <c r="AM67" s="62"/>
    </row>
    <row r="68" spans="1:39" s="27" customFormat="1" ht="40.5">
      <c r="A68" s="133" t="s">
        <v>278</v>
      </c>
      <c r="B68" s="37">
        <v>52</v>
      </c>
      <c r="C68" s="38" t="s">
        <v>45</v>
      </c>
      <c r="D68" s="205">
        <v>2</v>
      </c>
      <c r="E68" s="40">
        <v>45440</v>
      </c>
      <c r="F68" s="41">
        <v>0.54166666666666663</v>
      </c>
      <c r="G68" s="40">
        <v>45440</v>
      </c>
      <c r="H68" s="41">
        <v>0.625</v>
      </c>
      <c r="I68" s="41">
        <f t="shared" si="12"/>
        <v>8.333333333333337E-2</v>
      </c>
      <c r="J68" s="42">
        <f t="shared" si="13"/>
        <v>0.16666666666666674</v>
      </c>
      <c r="K68" s="57">
        <v>101</v>
      </c>
      <c r="L68" s="57">
        <v>304</v>
      </c>
      <c r="M68" s="39" t="s">
        <v>46</v>
      </c>
      <c r="N68" s="43" t="s">
        <v>138</v>
      </c>
      <c r="O68" s="199">
        <v>1</v>
      </c>
      <c r="P68" s="61"/>
      <c r="Q68" s="61">
        <v>1</v>
      </c>
      <c r="R68" s="61"/>
      <c r="S68" s="61"/>
      <c r="T68" s="61"/>
      <c r="U68" s="61"/>
      <c r="V68" s="61"/>
      <c r="W68" s="61"/>
      <c r="X68" s="61">
        <v>2.4</v>
      </c>
      <c r="Y68" s="61"/>
      <c r="Z68" s="61"/>
      <c r="AA68" s="61"/>
      <c r="AB68" s="61"/>
      <c r="AC68" s="61"/>
      <c r="AD68" s="61"/>
      <c r="AE68" s="61"/>
      <c r="AF68" s="61"/>
      <c r="AG68" s="61"/>
      <c r="AH68" s="61"/>
      <c r="AI68" s="61"/>
      <c r="AJ68" s="61"/>
      <c r="AK68" s="61"/>
      <c r="AL68" s="61"/>
      <c r="AM68" s="62"/>
    </row>
    <row r="69" spans="1:39" s="27" customFormat="1" ht="40.5">
      <c r="A69" s="133" t="s">
        <v>278</v>
      </c>
      <c r="B69" s="37">
        <v>53</v>
      </c>
      <c r="C69" s="137" t="s">
        <v>45</v>
      </c>
      <c r="D69" s="205">
        <v>1</v>
      </c>
      <c r="E69" s="55">
        <v>45443</v>
      </c>
      <c r="F69" s="56">
        <v>0.66666666666666663</v>
      </c>
      <c r="G69" s="55">
        <v>45443</v>
      </c>
      <c r="H69" s="56">
        <v>0.69444444444444442</v>
      </c>
      <c r="I69" s="56">
        <f t="shared" si="12"/>
        <v>2.777777777777779E-2</v>
      </c>
      <c r="J69" s="64">
        <f t="shared" si="13"/>
        <v>2.777777777777779E-2</v>
      </c>
      <c r="K69" s="57" t="s">
        <v>164</v>
      </c>
      <c r="L69" s="57" t="s">
        <v>165</v>
      </c>
      <c r="M69" s="54" t="s">
        <v>46</v>
      </c>
      <c r="N69" s="58" t="s">
        <v>166</v>
      </c>
      <c r="O69" s="199"/>
      <c r="P69" s="61"/>
      <c r="Q69" s="61"/>
      <c r="R69" s="61"/>
      <c r="S69" s="61"/>
      <c r="T69" s="61"/>
      <c r="U69" s="61"/>
      <c r="V69" s="61"/>
      <c r="W69" s="61"/>
      <c r="X69" s="61"/>
      <c r="Y69" s="61"/>
      <c r="Z69" s="61"/>
      <c r="AA69" s="61"/>
      <c r="AB69" s="61"/>
      <c r="AC69" s="61"/>
      <c r="AD69" s="61"/>
      <c r="AE69" s="61"/>
      <c r="AF69" s="61"/>
      <c r="AG69" s="61"/>
      <c r="AH69" s="61"/>
      <c r="AI69" s="61"/>
      <c r="AJ69" s="61"/>
      <c r="AK69" s="61"/>
      <c r="AL69" s="61"/>
      <c r="AM69" s="62" t="s">
        <v>167</v>
      </c>
    </row>
    <row r="70" spans="1:39" s="27" customFormat="1" ht="40.5">
      <c r="A70" s="133" t="s">
        <v>278</v>
      </c>
      <c r="B70" s="37">
        <v>54</v>
      </c>
      <c r="C70" s="38" t="s">
        <v>45</v>
      </c>
      <c r="D70" s="205">
        <v>2</v>
      </c>
      <c r="E70" s="40">
        <v>45448</v>
      </c>
      <c r="F70" s="41">
        <v>0.60416666666666663</v>
      </c>
      <c r="G70" s="40">
        <v>45448</v>
      </c>
      <c r="H70" s="41">
        <v>0.69444444444444442</v>
      </c>
      <c r="I70" s="41">
        <f t="shared" si="12"/>
        <v>9.027777777777779E-2</v>
      </c>
      <c r="J70" s="42">
        <f t="shared" si="13"/>
        <v>0.18055555555555558</v>
      </c>
      <c r="K70" s="57">
        <v>9</v>
      </c>
      <c r="L70" s="57">
        <v>104</v>
      </c>
      <c r="M70" s="39" t="s">
        <v>46</v>
      </c>
      <c r="N70" s="43" t="s">
        <v>139</v>
      </c>
      <c r="O70" s="199">
        <v>0.5</v>
      </c>
      <c r="P70" s="61"/>
      <c r="Q70" s="61"/>
      <c r="R70" s="61"/>
      <c r="S70" s="61"/>
      <c r="T70" s="61"/>
      <c r="U70" s="61"/>
      <c r="V70" s="61"/>
      <c r="W70" s="61">
        <v>1</v>
      </c>
      <c r="X70" s="61"/>
      <c r="Y70" s="61"/>
      <c r="Z70" s="61"/>
      <c r="AA70" s="61"/>
      <c r="AB70" s="61"/>
      <c r="AC70" s="61"/>
      <c r="AD70" s="61">
        <v>1</v>
      </c>
      <c r="AE70" s="61"/>
      <c r="AF70" s="61"/>
      <c r="AG70" s="61"/>
      <c r="AH70" s="61"/>
      <c r="AI70" s="61"/>
      <c r="AJ70" s="61"/>
      <c r="AK70" s="61"/>
      <c r="AL70" s="61"/>
      <c r="AM70" s="62"/>
    </row>
    <row r="71" spans="1:39" s="27" customFormat="1" ht="54">
      <c r="A71" s="133" t="s">
        <v>278</v>
      </c>
      <c r="B71" s="37">
        <v>55</v>
      </c>
      <c r="C71" s="137" t="s">
        <v>45</v>
      </c>
      <c r="D71" s="205">
        <v>3</v>
      </c>
      <c r="E71" s="55">
        <v>45461</v>
      </c>
      <c r="F71" s="56">
        <v>0.375</v>
      </c>
      <c r="G71" s="55">
        <v>45461</v>
      </c>
      <c r="H71" s="56">
        <v>0.70138888888888884</v>
      </c>
      <c r="I71" s="56">
        <f t="shared" si="12"/>
        <v>0.32638888888888884</v>
      </c>
      <c r="J71" s="64">
        <f t="shared" si="13"/>
        <v>0.97916666666666652</v>
      </c>
      <c r="K71" s="57" t="s">
        <v>168</v>
      </c>
      <c r="L71" s="57" t="s">
        <v>169</v>
      </c>
      <c r="M71" s="54" t="s">
        <v>46</v>
      </c>
      <c r="N71" s="58" t="s">
        <v>170</v>
      </c>
      <c r="O71" s="199">
        <v>3</v>
      </c>
      <c r="P71" s="61"/>
      <c r="Q71" s="61"/>
      <c r="R71" s="61"/>
      <c r="S71" s="61"/>
      <c r="T71" s="61"/>
      <c r="U71" s="61"/>
      <c r="V71" s="61"/>
      <c r="W71" s="61"/>
      <c r="X71" s="61"/>
      <c r="Y71" s="61">
        <v>7.2</v>
      </c>
      <c r="Z71" s="61"/>
      <c r="AA71" s="61"/>
      <c r="AB71" s="61"/>
      <c r="AC71" s="61"/>
      <c r="AD71" s="61"/>
      <c r="AE71" s="61">
        <v>2</v>
      </c>
      <c r="AF71" s="61"/>
      <c r="AG71" s="61"/>
      <c r="AH71" s="61"/>
      <c r="AI71" s="61"/>
      <c r="AJ71" s="61"/>
      <c r="AK71" s="61"/>
      <c r="AL71" s="61"/>
      <c r="AM71" s="62" t="s">
        <v>171</v>
      </c>
    </row>
    <row r="72" spans="1:39" s="27" customFormat="1" ht="27">
      <c r="A72" s="133" t="s">
        <v>278</v>
      </c>
      <c r="B72" s="37">
        <v>56</v>
      </c>
      <c r="C72" s="137" t="s">
        <v>45</v>
      </c>
      <c r="D72" s="205">
        <v>2</v>
      </c>
      <c r="E72" s="55">
        <v>45462</v>
      </c>
      <c r="F72" s="56">
        <v>0.375</v>
      </c>
      <c r="G72" s="55">
        <v>45462</v>
      </c>
      <c r="H72" s="56">
        <v>0.60416666666666663</v>
      </c>
      <c r="I72" s="56">
        <f t="shared" si="12"/>
        <v>0.22916666666666663</v>
      </c>
      <c r="J72" s="64">
        <f t="shared" si="13"/>
        <v>0.45833333333333326</v>
      </c>
      <c r="K72" s="67" t="s">
        <v>172</v>
      </c>
      <c r="L72" s="57" t="s">
        <v>173</v>
      </c>
      <c r="M72" s="54" t="s">
        <v>46</v>
      </c>
      <c r="N72" s="58" t="s">
        <v>174</v>
      </c>
      <c r="O72" s="199">
        <v>2</v>
      </c>
      <c r="P72" s="61"/>
      <c r="Q72" s="61"/>
      <c r="R72" s="61"/>
      <c r="S72" s="61"/>
      <c r="T72" s="61"/>
      <c r="U72" s="61"/>
      <c r="V72" s="61"/>
      <c r="W72" s="61"/>
      <c r="X72" s="61"/>
      <c r="Y72" s="61"/>
      <c r="Z72" s="61"/>
      <c r="AA72" s="61"/>
      <c r="AB72" s="61"/>
      <c r="AC72" s="61"/>
      <c r="AD72" s="61"/>
      <c r="AE72" s="61"/>
      <c r="AF72" s="61"/>
      <c r="AG72" s="61"/>
      <c r="AH72" s="61"/>
      <c r="AI72" s="61"/>
      <c r="AJ72" s="61"/>
      <c r="AK72" s="61"/>
      <c r="AL72" s="61"/>
      <c r="AM72" s="62" t="s">
        <v>171</v>
      </c>
    </row>
    <row r="73" spans="1:39" s="27" customFormat="1" ht="54">
      <c r="A73" s="133" t="s">
        <v>278</v>
      </c>
      <c r="B73" s="37">
        <v>57</v>
      </c>
      <c r="C73" s="38" t="s">
        <v>45</v>
      </c>
      <c r="D73" s="205">
        <v>1</v>
      </c>
      <c r="E73" s="40">
        <v>45468</v>
      </c>
      <c r="F73" s="41">
        <v>0.375</v>
      </c>
      <c r="G73" s="40">
        <v>45468</v>
      </c>
      <c r="H73" s="41">
        <v>0.70138888888888884</v>
      </c>
      <c r="I73" s="41">
        <f t="shared" si="12"/>
        <v>0.32638888888888884</v>
      </c>
      <c r="J73" s="42">
        <f t="shared" si="13"/>
        <v>0.32638888888888884</v>
      </c>
      <c r="K73" s="57" t="s">
        <v>175</v>
      </c>
      <c r="L73" s="57" t="s">
        <v>176</v>
      </c>
      <c r="M73" s="39" t="s">
        <v>46</v>
      </c>
      <c r="N73" s="43" t="s">
        <v>177</v>
      </c>
      <c r="O73" s="199">
        <v>1</v>
      </c>
      <c r="P73" s="61">
        <v>7</v>
      </c>
      <c r="Q73" s="61">
        <v>1</v>
      </c>
      <c r="R73" s="61"/>
      <c r="S73" s="61"/>
      <c r="T73" s="61"/>
      <c r="U73" s="61"/>
      <c r="V73" s="61"/>
      <c r="W73" s="61"/>
      <c r="X73" s="61"/>
      <c r="Y73" s="61"/>
      <c r="Z73" s="61"/>
      <c r="AA73" s="61"/>
      <c r="AB73" s="61"/>
      <c r="AC73" s="61"/>
      <c r="AD73" s="61"/>
      <c r="AE73" s="61"/>
      <c r="AF73" s="61"/>
      <c r="AG73" s="61"/>
      <c r="AH73" s="61"/>
      <c r="AI73" s="61"/>
      <c r="AJ73" s="61"/>
      <c r="AK73" s="61"/>
      <c r="AL73" s="61"/>
      <c r="AM73" s="62"/>
    </row>
    <row r="74" spans="1:39" s="27" customFormat="1" ht="67.5">
      <c r="A74" s="133" t="s">
        <v>278</v>
      </c>
      <c r="B74" s="37">
        <v>58</v>
      </c>
      <c r="C74" s="38" t="s">
        <v>45</v>
      </c>
      <c r="D74" s="205">
        <v>2</v>
      </c>
      <c r="E74" s="40">
        <v>45474</v>
      </c>
      <c r="F74" s="41">
        <v>0.375</v>
      </c>
      <c r="G74" s="40">
        <v>45474</v>
      </c>
      <c r="H74" s="41">
        <v>0.69444444444444442</v>
      </c>
      <c r="I74" s="41">
        <f t="shared" si="12"/>
        <v>0.31944444444444442</v>
      </c>
      <c r="J74" s="42">
        <f t="shared" si="13"/>
        <v>0.63888888888888884</v>
      </c>
      <c r="K74" s="57" t="s">
        <v>178</v>
      </c>
      <c r="L74" s="57" t="s">
        <v>179</v>
      </c>
      <c r="M74" s="39" t="s">
        <v>46</v>
      </c>
      <c r="N74" s="43" t="s">
        <v>180</v>
      </c>
      <c r="O74" s="199" t="s">
        <v>71</v>
      </c>
      <c r="P74" s="61">
        <v>23</v>
      </c>
      <c r="Q74" s="61"/>
      <c r="R74" s="61"/>
      <c r="S74" s="61"/>
      <c r="T74" s="61"/>
      <c r="U74" s="61"/>
      <c r="V74" s="61"/>
      <c r="W74" s="61"/>
      <c r="X74" s="61"/>
      <c r="Y74" s="61"/>
      <c r="Z74" s="61"/>
      <c r="AA74" s="61"/>
      <c r="AB74" s="61"/>
      <c r="AC74" s="61"/>
      <c r="AD74" s="61"/>
      <c r="AE74" s="61"/>
      <c r="AF74" s="61"/>
      <c r="AG74" s="61"/>
      <c r="AH74" s="61"/>
      <c r="AI74" s="61"/>
      <c r="AJ74" s="61"/>
      <c r="AK74" s="61"/>
      <c r="AL74" s="61"/>
      <c r="AM74" s="62"/>
    </row>
    <row r="75" spans="1:39" s="27" customFormat="1" ht="94.5">
      <c r="A75" s="133" t="s">
        <v>278</v>
      </c>
      <c r="B75" s="37">
        <v>59</v>
      </c>
      <c r="C75" s="38" t="s">
        <v>45</v>
      </c>
      <c r="D75" s="205">
        <v>3</v>
      </c>
      <c r="E75" s="40">
        <v>45475</v>
      </c>
      <c r="F75" s="41">
        <v>0.375</v>
      </c>
      <c r="G75" s="40">
        <v>45475</v>
      </c>
      <c r="H75" s="41">
        <v>0.69444444444444442</v>
      </c>
      <c r="I75" s="41">
        <f t="shared" si="12"/>
        <v>0.31944444444444442</v>
      </c>
      <c r="J75" s="42">
        <f t="shared" si="13"/>
        <v>0.95833333333333326</v>
      </c>
      <c r="K75" s="57" t="s">
        <v>181</v>
      </c>
      <c r="L75" s="57" t="s">
        <v>182</v>
      </c>
      <c r="M75" s="39" t="s">
        <v>46</v>
      </c>
      <c r="N75" s="43" t="s">
        <v>183</v>
      </c>
      <c r="O75" s="199">
        <v>3</v>
      </c>
      <c r="P75" s="61"/>
      <c r="Q75" s="61">
        <v>2</v>
      </c>
      <c r="R75" s="61"/>
      <c r="S75" s="61"/>
      <c r="T75" s="61"/>
      <c r="U75" s="61"/>
      <c r="V75" s="61"/>
      <c r="W75" s="61">
        <v>7</v>
      </c>
      <c r="X75" s="61"/>
      <c r="Y75" s="61"/>
      <c r="Z75" s="61"/>
      <c r="AA75" s="61"/>
      <c r="AB75" s="61"/>
      <c r="AC75" s="61"/>
      <c r="AD75" s="61"/>
      <c r="AE75" s="61"/>
      <c r="AF75" s="61"/>
      <c r="AG75" s="61"/>
      <c r="AH75" s="61"/>
      <c r="AI75" s="61"/>
      <c r="AJ75" s="61"/>
      <c r="AK75" s="61"/>
      <c r="AL75" s="61"/>
      <c r="AM75" s="62"/>
    </row>
    <row r="76" spans="1:39" s="27" customFormat="1" ht="81">
      <c r="A76" s="133" t="s">
        <v>278</v>
      </c>
      <c r="B76" s="37">
        <v>60</v>
      </c>
      <c r="C76" s="38" t="s">
        <v>45</v>
      </c>
      <c r="D76" s="205">
        <v>3</v>
      </c>
      <c r="E76" s="55">
        <v>45476</v>
      </c>
      <c r="F76" s="56">
        <v>0.375</v>
      </c>
      <c r="G76" s="55">
        <v>45476</v>
      </c>
      <c r="H76" s="56">
        <v>0.70138888888888884</v>
      </c>
      <c r="I76" s="56">
        <f t="shared" si="12"/>
        <v>0.32638888888888884</v>
      </c>
      <c r="J76" s="64">
        <f t="shared" si="13"/>
        <v>0.97916666666666652</v>
      </c>
      <c r="K76" s="57" t="s">
        <v>184</v>
      </c>
      <c r="L76" s="57" t="s">
        <v>185</v>
      </c>
      <c r="M76" s="54" t="s">
        <v>46</v>
      </c>
      <c r="N76" s="58" t="s">
        <v>186</v>
      </c>
      <c r="O76" s="199">
        <v>3</v>
      </c>
      <c r="P76" s="61"/>
      <c r="Q76" s="61">
        <v>1</v>
      </c>
      <c r="R76" s="61"/>
      <c r="S76" s="61"/>
      <c r="T76" s="61"/>
      <c r="U76" s="61"/>
      <c r="V76" s="61"/>
      <c r="W76" s="61">
        <v>2</v>
      </c>
      <c r="X76" s="61"/>
      <c r="Y76" s="61"/>
      <c r="Z76" s="61"/>
      <c r="AA76" s="61"/>
      <c r="AB76" s="61"/>
      <c r="AC76" s="61"/>
      <c r="AD76" s="61"/>
      <c r="AE76" s="61"/>
      <c r="AF76" s="61"/>
      <c r="AG76" s="61"/>
      <c r="AH76" s="61"/>
      <c r="AI76" s="61"/>
      <c r="AJ76" s="61"/>
      <c r="AK76" s="61"/>
      <c r="AL76" s="61"/>
      <c r="AM76" s="62"/>
    </row>
    <row r="77" spans="1:39" s="27" customFormat="1" ht="81">
      <c r="A77" s="133" t="s">
        <v>278</v>
      </c>
      <c r="B77" s="37">
        <v>61</v>
      </c>
      <c r="C77" s="38" t="s">
        <v>45</v>
      </c>
      <c r="D77" s="205">
        <v>3</v>
      </c>
      <c r="E77" s="40">
        <v>45477</v>
      </c>
      <c r="F77" s="41">
        <v>0.375</v>
      </c>
      <c r="G77" s="40">
        <v>45477</v>
      </c>
      <c r="H77" s="41">
        <v>0.69444444444444442</v>
      </c>
      <c r="I77" s="41">
        <f t="shared" si="12"/>
        <v>0.31944444444444442</v>
      </c>
      <c r="J77" s="42">
        <f t="shared" si="13"/>
        <v>0.95833333333333326</v>
      </c>
      <c r="K77" s="57" t="s">
        <v>156</v>
      </c>
      <c r="L77" s="57" t="s">
        <v>187</v>
      </c>
      <c r="M77" s="39" t="s">
        <v>46</v>
      </c>
      <c r="N77" s="43" t="s">
        <v>188</v>
      </c>
      <c r="O77" s="199">
        <v>2</v>
      </c>
      <c r="P77" s="48">
        <v>7</v>
      </c>
      <c r="Q77" s="48"/>
      <c r="R77" s="48"/>
      <c r="S77" s="48"/>
      <c r="T77" s="48">
        <v>1</v>
      </c>
      <c r="U77" s="48"/>
      <c r="V77" s="48">
        <v>0.2</v>
      </c>
      <c r="W77" s="48">
        <v>2</v>
      </c>
      <c r="X77" s="48"/>
      <c r="Y77" s="48"/>
      <c r="Z77" s="48"/>
      <c r="AA77" s="48"/>
      <c r="AB77" s="48"/>
      <c r="AC77" s="48"/>
      <c r="AD77" s="48"/>
      <c r="AE77" s="48"/>
      <c r="AF77" s="48"/>
      <c r="AG77" s="48"/>
      <c r="AH77" s="48"/>
      <c r="AI77" s="48"/>
      <c r="AJ77" s="48"/>
      <c r="AK77" s="48"/>
      <c r="AL77" s="48"/>
      <c r="AM77" s="63"/>
    </row>
    <row r="78" spans="1:39" s="27" customFormat="1" ht="40.5">
      <c r="A78" s="133" t="s">
        <v>278</v>
      </c>
      <c r="B78" s="37">
        <v>62</v>
      </c>
      <c r="C78" s="38" t="s">
        <v>45</v>
      </c>
      <c r="D78" s="205">
        <v>1</v>
      </c>
      <c r="E78" s="40">
        <v>45478</v>
      </c>
      <c r="F78" s="41">
        <v>0.375</v>
      </c>
      <c r="G78" s="40">
        <v>45478</v>
      </c>
      <c r="H78" s="41">
        <v>0.6875</v>
      </c>
      <c r="I78" s="41">
        <f t="shared" si="12"/>
        <v>0.3125</v>
      </c>
      <c r="J78" s="42">
        <f t="shared" si="13"/>
        <v>0.3125</v>
      </c>
      <c r="K78" s="57" t="s">
        <v>189</v>
      </c>
      <c r="L78" s="57" t="s">
        <v>190</v>
      </c>
      <c r="M78" s="39" t="s">
        <v>46</v>
      </c>
      <c r="N78" s="43" t="s">
        <v>191</v>
      </c>
      <c r="O78" s="199"/>
      <c r="P78" s="61">
        <v>14</v>
      </c>
      <c r="Q78" s="61"/>
      <c r="R78" s="61"/>
      <c r="S78" s="61"/>
      <c r="T78" s="61"/>
      <c r="U78" s="61"/>
      <c r="V78" s="61"/>
      <c r="W78" s="61"/>
      <c r="X78" s="61"/>
      <c r="Y78" s="61"/>
      <c r="Z78" s="61"/>
      <c r="AA78" s="61"/>
      <c r="AB78" s="61"/>
      <c r="AC78" s="61"/>
      <c r="AD78" s="61"/>
      <c r="AE78" s="61"/>
      <c r="AF78" s="61"/>
      <c r="AG78" s="61"/>
      <c r="AH78" s="61"/>
      <c r="AI78" s="61"/>
      <c r="AJ78" s="61"/>
      <c r="AK78" s="61"/>
      <c r="AL78" s="61"/>
      <c r="AM78" s="62"/>
    </row>
    <row r="79" spans="1:39" s="27" customFormat="1" ht="54">
      <c r="A79" s="133" t="s">
        <v>278</v>
      </c>
      <c r="B79" s="37">
        <v>63</v>
      </c>
      <c r="C79" s="38" t="s">
        <v>45</v>
      </c>
      <c r="D79" s="205">
        <v>2</v>
      </c>
      <c r="E79" s="40">
        <v>45481</v>
      </c>
      <c r="F79" s="41">
        <v>0.375</v>
      </c>
      <c r="G79" s="40">
        <v>45481</v>
      </c>
      <c r="H79" s="41">
        <v>0.69444444444444442</v>
      </c>
      <c r="I79" s="41">
        <f t="shared" si="12"/>
        <v>0.31944444444444442</v>
      </c>
      <c r="J79" s="42">
        <f t="shared" si="13"/>
        <v>0.63888888888888884</v>
      </c>
      <c r="K79" s="57" t="s">
        <v>192</v>
      </c>
      <c r="L79" s="57" t="s">
        <v>193</v>
      </c>
      <c r="M79" s="39" t="s">
        <v>46</v>
      </c>
      <c r="N79" s="43" t="s">
        <v>194</v>
      </c>
      <c r="O79" s="199">
        <v>2</v>
      </c>
      <c r="P79" s="61"/>
      <c r="Q79" s="61">
        <v>4</v>
      </c>
      <c r="R79" s="61"/>
      <c r="S79" s="61"/>
      <c r="T79" s="61"/>
      <c r="U79" s="61"/>
      <c r="V79" s="61"/>
      <c r="W79" s="61"/>
      <c r="X79" s="61"/>
      <c r="Y79" s="61"/>
      <c r="Z79" s="61"/>
      <c r="AA79" s="61"/>
      <c r="AB79" s="61"/>
      <c r="AC79" s="61"/>
      <c r="AD79" s="61"/>
      <c r="AE79" s="61"/>
      <c r="AF79" s="61"/>
      <c r="AG79" s="61"/>
      <c r="AH79" s="61"/>
      <c r="AI79" s="61"/>
      <c r="AJ79" s="61"/>
      <c r="AK79" s="61"/>
      <c r="AL79" s="61"/>
      <c r="AM79" s="62"/>
    </row>
    <row r="80" spans="1:39" s="27" customFormat="1" ht="40.5">
      <c r="A80" s="133" t="s">
        <v>278</v>
      </c>
      <c r="B80" s="37">
        <v>64</v>
      </c>
      <c r="C80" s="38" t="s">
        <v>45</v>
      </c>
      <c r="D80" s="205">
        <v>3</v>
      </c>
      <c r="E80" s="40">
        <v>45483</v>
      </c>
      <c r="F80" s="41">
        <v>0.375</v>
      </c>
      <c r="G80" s="40">
        <v>45483</v>
      </c>
      <c r="H80" s="41">
        <v>0.69444444444444442</v>
      </c>
      <c r="I80" s="41">
        <f t="shared" si="12"/>
        <v>0.31944444444444442</v>
      </c>
      <c r="J80" s="42">
        <f t="shared" si="13"/>
        <v>0.95833333333333326</v>
      </c>
      <c r="K80" s="57" t="s">
        <v>189</v>
      </c>
      <c r="L80" s="57" t="s">
        <v>195</v>
      </c>
      <c r="M80" s="39" t="s">
        <v>46</v>
      </c>
      <c r="N80" s="43" t="s">
        <v>196</v>
      </c>
      <c r="O80" s="199">
        <v>1</v>
      </c>
      <c r="P80" s="61">
        <v>14</v>
      </c>
      <c r="Q80" s="61"/>
      <c r="R80" s="61"/>
      <c r="S80" s="61"/>
      <c r="T80" s="61"/>
      <c r="U80" s="61"/>
      <c r="V80" s="61"/>
      <c r="W80" s="61"/>
      <c r="X80" s="61"/>
      <c r="Y80" s="61"/>
      <c r="Z80" s="61"/>
      <c r="AA80" s="61"/>
      <c r="AB80" s="61"/>
      <c r="AC80" s="61"/>
      <c r="AD80" s="61"/>
      <c r="AE80" s="61"/>
      <c r="AF80" s="61"/>
      <c r="AG80" s="61"/>
      <c r="AH80" s="61"/>
      <c r="AI80" s="61"/>
      <c r="AJ80" s="61"/>
      <c r="AK80" s="61"/>
      <c r="AL80" s="61"/>
      <c r="AM80" s="62"/>
    </row>
    <row r="81" spans="1:39" s="27" customFormat="1" ht="54">
      <c r="A81" s="133" t="s">
        <v>278</v>
      </c>
      <c r="B81" s="37">
        <v>65</v>
      </c>
      <c r="C81" s="38" t="s">
        <v>45</v>
      </c>
      <c r="D81" s="205">
        <v>3</v>
      </c>
      <c r="E81" s="40">
        <v>45485</v>
      </c>
      <c r="F81" s="41">
        <v>0.375</v>
      </c>
      <c r="G81" s="40">
        <v>45485</v>
      </c>
      <c r="H81" s="41">
        <v>0.70138888888888884</v>
      </c>
      <c r="I81" s="41">
        <f t="shared" si="12"/>
        <v>0.32638888888888884</v>
      </c>
      <c r="J81" s="42">
        <f t="shared" si="13"/>
        <v>0.97916666666666652</v>
      </c>
      <c r="K81" s="57" t="s">
        <v>197</v>
      </c>
      <c r="L81" s="57" t="s">
        <v>198</v>
      </c>
      <c r="M81" s="39" t="s">
        <v>46</v>
      </c>
      <c r="N81" s="58" t="s">
        <v>199</v>
      </c>
      <c r="O81" s="199">
        <v>3</v>
      </c>
      <c r="P81" s="61"/>
      <c r="Q81" s="61">
        <v>3</v>
      </c>
      <c r="R81" s="61"/>
      <c r="S81" s="61"/>
      <c r="T81" s="61">
        <v>0.5</v>
      </c>
      <c r="U81" s="61"/>
      <c r="V81" s="61">
        <v>0.2</v>
      </c>
      <c r="W81" s="61">
        <v>2</v>
      </c>
      <c r="X81" s="61"/>
      <c r="Y81" s="61"/>
      <c r="Z81" s="61"/>
      <c r="AA81" s="61"/>
      <c r="AB81" s="61"/>
      <c r="AC81" s="61"/>
      <c r="AD81" s="61"/>
      <c r="AE81" s="61"/>
      <c r="AF81" s="61"/>
      <c r="AG81" s="61"/>
      <c r="AH81" s="61"/>
      <c r="AI81" s="61"/>
      <c r="AJ81" s="61"/>
      <c r="AK81" s="61"/>
      <c r="AL81" s="61"/>
      <c r="AM81" s="62"/>
    </row>
    <row r="82" spans="1:39" s="27" customFormat="1" ht="54">
      <c r="A82" s="133" t="s">
        <v>278</v>
      </c>
      <c r="B82" s="37">
        <v>66</v>
      </c>
      <c r="C82" s="38" t="s">
        <v>45</v>
      </c>
      <c r="D82" s="205">
        <v>3</v>
      </c>
      <c r="E82" s="40">
        <v>45489</v>
      </c>
      <c r="F82" s="41">
        <v>0.54166666666666663</v>
      </c>
      <c r="G82" s="40">
        <v>45489</v>
      </c>
      <c r="H82" s="41">
        <v>0.69444444444444442</v>
      </c>
      <c r="I82" s="41">
        <f t="shared" si="12"/>
        <v>0.15277777777777779</v>
      </c>
      <c r="J82" s="42">
        <f t="shared" si="13"/>
        <v>0.45833333333333337</v>
      </c>
      <c r="K82" s="57" t="s">
        <v>160</v>
      </c>
      <c r="L82" s="57" t="s">
        <v>200</v>
      </c>
      <c r="M82" s="39" t="s">
        <v>46</v>
      </c>
      <c r="N82" s="58" t="s">
        <v>277</v>
      </c>
      <c r="O82" s="199">
        <v>2</v>
      </c>
      <c r="P82" s="61"/>
      <c r="Q82" s="61">
        <v>3</v>
      </c>
      <c r="R82" s="61"/>
      <c r="S82" s="61"/>
      <c r="T82" s="61">
        <v>1</v>
      </c>
      <c r="U82" s="61"/>
      <c r="V82" s="61">
        <v>0.2</v>
      </c>
      <c r="W82" s="61">
        <v>2</v>
      </c>
      <c r="X82" s="61"/>
      <c r="Y82" s="61"/>
      <c r="Z82" s="61"/>
      <c r="AA82" s="61"/>
      <c r="AB82" s="61"/>
      <c r="AC82" s="61"/>
      <c r="AD82" s="61"/>
      <c r="AE82" s="61"/>
      <c r="AF82" s="61"/>
      <c r="AG82" s="61"/>
      <c r="AH82" s="61"/>
      <c r="AI82" s="61"/>
      <c r="AJ82" s="61"/>
      <c r="AK82" s="61"/>
      <c r="AL82" s="61"/>
      <c r="AM82" s="62"/>
    </row>
    <row r="83" spans="1:39" s="27" customFormat="1" ht="27">
      <c r="A83" s="133" t="s">
        <v>278</v>
      </c>
      <c r="B83" s="37"/>
      <c r="C83" s="38"/>
      <c r="D83" s="205"/>
      <c r="E83" s="40">
        <v>45489</v>
      </c>
      <c r="F83" s="41"/>
      <c r="G83" s="40"/>
      <c r="H83" s="41"/>
      <c r="I83" s="41"/>
      <c r="J83" s="42"/>
      <c r="K83" s="57" t="s">
        <v>271</v>
      </c>
      <c r="L83" s="57" t="s">
        <v>272</v>
      </c>
      <c r="M83" s="39" t="s">
        <v>117</v>
      </c>
      <c r="N83" s="58" t="s">
        <v>273</v>
      </c>
      <c r="O83" s="199">
        <v>0.5</v>
      </c>
      <c r="P83" s="61"/>
      <c r="Q83" s="61"/>
      <c r="R83" s="61"/>
      <c r="S83" s="61"/>
      <c r="T83" s="61"/>
      <c r="U83" s="61"/>
      <c r="V83" s="61"/>
      <c r="W83" s="61"/>
      <c r="X83" s="61"/>
      <c r="Y83" s="61"/>
      <c r="Z83" s="61"/>
      <c r="AA83" s="61"/>
      <c r="AB83" s="61"/>
      <c r="AC83" s="61"/>
      <c r="AD83" s="61"/>
      <c r="AE83" s="61"/>
      <c r="AF83" s="61"/>
      <c r="AG83" s="61"/>
      <c r="AH83" s="61"/>
      <c r="AI83" s="61"/>
      <c r="AJ83" s="61"/>
      <c r="AK83" s="61"/>
      <c r="AL83" s="61"/>
      <c r="AM83" s="62" t="s">
        <v>201</v>
      </c>
    </row>
    <row r="84" spans="1:39" s="27" customFormat="1" ht="54">
      <c r="A84" s="133" t="s">
        <v>278</v>
      </c>
      <c r="B84" s="37">
        <v>67</v>
      </c>
      <c r="C84" s="38" t="s">
        <v>45</v>
      </c>
      <c r="D84" s="205">
        <v>2</v>
      </c>
      <c r="E84" s="40">
        <v>45490</v>
      </c>
      <c r="F84" s="41">
        <v>0.375</v>
      </c>
      <c r="G84" s="40">
        <v>45490</v>
      </c>
      <c r="H84" s="41">
        <v>0.69444444444444442</v>
      </c>
      <c r="I84" s="41">
        <f t="shared" ref="I84:I91" si="14">H84-F84</f>
        <v>0.31944444444444442</v>
      </c>
      <c r="J84" s="42">
        <f t="shared" ref="J84:J91" si="15">I84*D84</f>
        <v>0.63888888888888884</v>
      </c>
      <c r="K84" s="57" t="s">
        <v>202</v>
      </c>
      <c r="L84" s="57" t="s">
        <v>203</v>
      </c>
      <c r="M84" s="39" t="s">
        <v>46</v>
      </c>
      <c r="N84" s="58" t="s">
        <v>204</v>
      </c>
      <c r="O84" s="199">
        <v>2</v>
      </c>
      <c r="P84" s="61"/>
      <c r="Q84" s="61">
        <v>3</v>
      </c>
      <c r="R84" s="61"/>
      <c r="S84" s="61"/>
      <c r="T84" s="61">
        <v>0.5</v>
      </c>
      <c r="U84" s="61"/>
      <c r="V84" s="61">
        <v>0.2</v>
      </c>
      <c r="W84" s="61"/>
      <c r="X84" s="61"/>
      <c r="Y84" s="61"/>
      <c r="Z84" s="61"/>
      <c r="AA84" s="61"/>
      <c r="AB84" s="61"/>
      <c r="AC84" s="61"/>
      <c r="AD84" s="61"/>
      <c r="AE84" s="61"/>
      <c r="AF84" s="61"/>
      <c r="AG84" s="61"/>
      <c r="AH84" s="61"/>
      <c r="AI84" s="61"/>
      <c r="AJ84" s="61"/>
      <c r="AK84" s="61"/>
      <c r="AL84" s="61"/>
      <c r="AM84" s="62"/>
    </row>
    <row r="85" spans="1:39" s="27" customFormat="1" ht="81">
      <c r="A85" s="133" t="s">
        <v>278</v>
      </c>
      <c r="B85" s="37">
        <v>68</v>
      </c>
      <c r="C85" s="38" t="s">
        <v>45</v>
      </c>
      <c r="D85" s="205">
        <v>3</v>
      </c>
      <c r="E85" s="40">
        <v>45491</v>
      </c>
      <c r="F85" s="41">
        <v>0.375</v>
      </c>
      <c r="G85" s="40">
        <v>45491</v>
      </c>
      <c r="H85" s="41">
        <v>0.70138888888888884</v>
      </c>
      <c r="I85" s="41">
        <f t="shared" si="14"/>
        <v>0.32638888888888884</v>
      </c>
      <c r="J85" s="42">
        <f t="shared" si="15"/>
        <v>0.97916666666666652</v>
      </c>
      <c r="K85" s="57" t="s">
        <v>205</v>
      </c>
      <c r="L85" s="57" t="s">
        <v>206</v>
      </c>
      <c r="M85" s="39" t="s">
        <v>46</v>
      </c>
      <c r="N85" s="43" t="s">
        <v>207</v>
      </c>
      <c r="O85" s="198">
        <v>2</v>
      </c>
      <c r="P85" s="44">
        <v>5</v>
      </c>
      <c r="Q85" s="44">
        <v>3</v>
      </c>
      <c r="R85" s="44"/>
      <c r="S85" s="44"/>
      <c r="T85" s="44"/>
      <c r="U85" s="44"/>
      <c r="V85" s="44"/>
      <c r="W85" s="44"/>
      <c r="X85" s="44"/>
      <c r="Y85" s="44"/>
      <c r="Z85" s="44"/>
      <c r="AA85" s="44"/>
      <c r="AB85" s="44"/>
      <c r="AC85" s="44"/>
      <c r="AD85" s="44"/>
      <c r="AE85" s="44"/>
      <c r="AF85" s="44"/>
      <c r="AG85" s="44"/>
      <c r="AH85" s="44"/>
      <c r="AI85" s="44">
        <v>6</v>
      </c>
      <c r="AJ85" s="44"/>
      <c r="AK85" s="44"/>
      <c r="AL85" s="44"/>
      <c r="AM85" s="45"/>
    </row>
    <row r="86" spans="1:39" s="27" customFormat="1" ht="54">
      <c r="A86" s="133" t="s">
        <v>278</v>
      </c>
      <c r="B86" s="37">
        <v>69</v>
      </c>
      <c r="C86" s="38" t="s">
        <v>45</v>
      </c>
      <c r="D86" s="205">
        <v>2</v>
      </c>
      <c r="E86" s="40">
        <v>45499</v>
      </c>
      <c r="F86" s="41">
        <v>0.375</v>
      </c>
      <c r="G86" s="40">
        <v>45499</v>
      </c>
      <c r="H86" s="41">
        <v>0.6875</v>
      </c>
      <c r="I86" s="41">
        <f t="shared" si="14"/>
        <v>0.3125</v>
      </c>
      <c r="J86" s="42">
        <f t="shared" si="15"/>
        <v>0.625</v>
      </c>
      <c r="K86" s="57" t="s">
        <v>208</v>
      </c>
      <c r="L86" s="57" t="s">
        <v>209</v>
      </c>
      <c r="M86" s="39" t="s">
        <v>46</v>
      </c>
      <c r="N86" s="58" t="s">
        <v>210</v>
      </c>
      <c r="O86" s="198">
        <v>2</v>
      </c>
      <c r="P86" s="59"/>
      <c r="Q86" s="59"/>
      <c r="R86" s="59"/>
      <c r="S86" s="59"/>
      <c r="T86" s="59"/>
      <c r="U86" s="59"/>
      <c r="V86" s="59"/>
      <c r="W86" s="59">
        <v>1</v>
      </c>
      <c r="X86" s="59"/>
      <c r="Y86" s="59"/>
      <c r="Z86" s="59"/>
      <c r="AA86" s="59"/>
      <c r="AB86" s="59"/>
      <c r="AC86" s="59"/>
      <c r="AD86" s="59"/>
      <c r="AE86" s="59">
        <v>2</v>
      </c>
      <c r="AF86" s="59"/>
      <c r="AG86" s="59"/>
      <c r="AH86" s="59"/>
      <c r="AI86" s="59"/>
      <c r="AJ86" s="59"/>
      <c r="AK86" s="59"/>
      <c r="AL86" s="59"/>
      <c r="AM86" s="45"/>
    </row>
    <row r="87" spans="1:39" s="27" customFormat="1" ht="27">
      <c r="A87" s="133" t="s">
        <v>278</v>
      </c>
      <c r="B87" s="37">
        <v>70</v>
      </c>
      <c r="C87" s="38" t="s">
        <v>45</v>
      </c>
      <c r="D87" s="205">
        <v>1</v>
      </c>
      <c r="E87" s="40">
        <v>45503</v>
      </c>
      <c r="F87" s="41">
        <v>0.375</v>
      </c>
      <c r="G87" s="40">
        <v>45503</v>
      </c>
      <c r="H87" s="41">
        <v>0.69444444444444442</v>
      </c>
      <c r="I87" s="41">
        <f t="shared" si="14"/>
        <v>0.31944444444444442</v>
      </c>
      <c r="J87" s="42">
        <f t="shared" si="15"/>
        <v>0.31944444444444442</v>
      </c>
      <c r="K87" s="57" t="s">
        <v>211</v>
      </c>
      <c r="L87" s="57" t="s">
        <v>212</v>
      </c>
      <c r="M87" s="39" t="s">
        <v>46</v>
      </c>
      <c r="N87" s="43" t="s">
        <v>213</v>
      </c>
      <c r="O87" s="198">
        <v>1</v>
      </c>
      <c r="P87" s="15"/>
      <c r="Q87" s="15"/>
      <c r="R87" s="59"/>
      <c r="S87" s="59"/>
      <c r="T87" s="59">
        <v>2</v>
      </c>
      <c r="U87" s="59"/>
      <c r="V87" s="59">
        <v>1</v>
      </c>
      <c r="W87" s="59"/>
      <c r="X87" s="59"/>
      <c r="Y87" s="59">
        <v>2.4</v>
      </c>
      <c r="Z87" s="59"/>
      <c r="AA87" s="59"/>
      <c r="AB87" s="59"/>
      <c r="AC87" s="59"/>
      <c r="AD87" s="59"/>
      <c r="AE87" s="59"/>
      <c r="AF87" s="59"/>
      <c r="AG87" s="59"/>
      <c r="AH87" s="59"/>
      <c r="AI87" s="59"/>
      <c r="AJ87" s="59"/>
      <c r="AK87" s="59"/>
      <c r="AL87" s="59"/>
      <c r="AM87" s="45"/>
    </row>
    <row r="88" spans="1:39" s="27" customFormat="1" ht="27">
      <c r="A88" s="133" t="s">
        <v>278</v>
      </c>
      <c r="B88" s="37">
        <v>71</v>
      </c>
      <c r="C88" s="137" t="s">
        <v>45</v>
      </c>
      <c r="D88" s="205">
        <v>1</v>
      </c>
      <c r="E88" s="55">
        <v>45503</v>
      </c>
      <c r="F88" s="56">
        <v>0.54166666666666663</v>
      </c>
      <c r="G88" s="55">
        <v>45503</v>
      </c>
      <c r="H88" s="56">
        <v>0.64583333333333337</v>
      </c>
      <c r="I88" s="56">
        <f t="shared" si="14"/>
        <v>0.10416666666666674</v>
      </c>
      <c r="J88" s="64">
        <f t="shared" si="15"/>
        <v>0.10416666666666674</v>
      </c>
      <c r="K88" s="57">
        <v>5</v>
      </c>
      <c r="L88" s="57">
        <v>402</v>
      </c>
      <c r="M88" s="54" t="s">
        <v>46</v>
      </c>
      <c r="N88" s="58" t="s">
        <v>214</v>
      </c>
      <c r="O88" s="198"/>
      <c r="P88" s="15"/>
      <c r="Q88" s="15"/>
      <c r="R88" s="59"/>
      <c r="S88" s="59"/>
      <c r="T88" s="59"/>
      <c r="U88" s="59"/>
      <c r="V88" s="59"/>
      <c r="W88" s="59"/>
      <c r="X88" s="59"/>
      <c r="Y88" s="59"/>
      <c r="Z88" s="59"/>
      <c r="AA88" s="59"/>
      <c r="AB88" s="59"/>
      <c r="AC88" s="59"/>
      <c r="AD88" s="59"/>
      <c r="AE88" s="59"/>
      <c r="AF88" s="59"/>
      <c r="AG88" s="59"/>
      <c r="AH88" s="59"/>
      <c r="AI88" s="59"/>
      <c r="AJ88" s="59"/>
      <c r="AK88" s="59">
        <v>15</v>
      </c>
      <c r="AL88" s="59"/>
      <c r="AM88" s="58" t="s">
        <v>126</v>
      </c>
    </row>
    <row r="89" spans="1:39" s="27" customFormat="1" ht="27">
      <c r="A89" s="133" t="s">
        <v>278</v>
      </c>
      <c r="B89" s="37">
        <v>72</v>
      </c>
      <c r="C89" s="38" t="s">
        <v>45</v>
      </c>
      <c r="D89" s="205">
        <v>1</v>
      </c>
      <c r="E89" s="40">
        <v>45504</v>
      </c>
      <c r="F89" s="41">
        <v>0.375</v>
      </c>
      <c r="G89" s="40">
        <v>45504</v>
      </c>
      <c r="H89" s="41">
        <v>0.68055555555555558</v>
      </c>
      <c r="I89" s="41">
        <f t="shared" si="14"/>
        <v>0.30555555555555558</v>
      </c>
      <c r="J89" s="42">
        <f t="shared" si="15"/>
        <v>0.30555555555555558</v>
      </c>
      <c r="K89" s="57">
        <v>5</v>
      </c>
      <c r="L89" s="57">
        <v>402</v>
      </c>
      <c r="M89" s="39" t="s">
        <v>46</v>
      </c>
      <c r="N89" s="43" t="s">
        <v>215</v>
      </c>
      <c r="O89" s="198">
        <v>1</v>
      </c>
      <c r="P89" s="15"/>
      <c r="Q89" s="15"/>
      <c r="R89" s="59"/>
      <c r="S89" s="59"/>
      <c r="T89" s="59"/>
      <c r="U89" s="59"/>
      <c r="V89" s="59"/>
      <c r="W89" s="59">
        <v>2</v>
      </c>
      <c r="X89" s="59"/>
      <c r="Y89" s="59"/>
      <c r="Z89" s="59"/>
      <c r="AA89" s="59"/>
      <c r="AB89" s="59"/>
      <c r="AC89" s="59"/>
      <c r="AD89" s="59"/>
      <c r="AE89" s="59"/>
      <c r="AF89" s="59"/>
      <c r="AG89" s="59"/>
      <c r="AH89" s="59"/>
      <c r="AI89" s="59"/>
      <c r="AJ89" s="59"/>
      <c r="AK89" s="59"/>
      <c r="AL89" s="59"/>
      <c r="AM89" s="45"/>
    </row>
    <row r="90" spans="1:39" s="27" customFormat="1" ht="54">
      <c r="A90" s="133" t="s">
        <v>278</v>
      </c>
      <c r="B90" s="37">
        <v>73</v>
      </c>
      <c r="C90" s="38" t="s">
        <v>45</v>
      </c>
      <c r="D90" s="205">
        <v>2</v>
      </c>
      <c r="E90" s="40">
        <v>45517</v>
      </c>
      <c r="F90" s="41">
        <v>0.375</v>
      </c>
      <c r="G90" s="40">
        <v>45517</v>
      </c>
      <c r="H90" s="41">
        <v>0.6875</v>
      </c>
      <c r="I90" s="41">
        <f t="shared" si="14"/>
        <v>0.3125</v>
      </c>
      <c r="J90" s="42">
        <f t="shared" si="15"/>
        <v>0.625</v>
      </c>
      <c r="K90" s="57" t="s">
        <v>216</v>
      </c>
      <c r="L90" s="57" t="s">
        <v>217</v>
      </c>
      <c r="M90" s="39" t="s">
        <v>46</v>
      </c>
      <c r="N90" s="43" t="s">
        <v>218</v>
      </c>
      <c r="O90" s="198">
        <v>2</v>
      </c>
      <c r="P90" s="59"/>
      <c r="Q90" s="59">
        <v>3</v>
      </c>
      <c r="R90" s="59"/>
      <c r="S90" s="59"/>
      <c r="T90" s="59"/>
      <c r="U90" s="59"/>
      <c r="V90" s="59"/>
      <c r="W90" s="59"/>
      <c r="X90" s="59"/>
      <c r="Y90" s="59"/>
      <c r="Z90" s="59"/>
      <c r="AA90" s="59"/>
      <c r="AB90" s="59"/>
      <c r="AC90" s="59"/>
      <c r="AD90" s="59"/>
      <c r="AE90" s="59"/>
      <c r="AF90" s="59"/>
      <c r="AG90" s="59"/>
      <c r="AH90" s="59"/>
      <c r="AI90" s="59"/>
      <c r="AJ90" s="59"/>
      <c r="AK90" s="59"/>
      <c r="AL90" s="59"/>
      <c r="AM90" s="45"/>
    </row>
    <row r="91" spans="1:39" s="27" customFormat="1" ht="54">
      <c r="A91" s="133" t="s">
        <v>278</v>
      </c>
      <c r="B91" s="37">
        <v>74</v>
      </c>
      <c r="C91" s="38" t="s">
        <v>45</v>
      </c>
      <c r="D91" s="205">
        <v>2</v>
      </c>
      <c r="E91" s="40">
        <v>45518</v>
      </c>
      <c r="F91" s="41">
        <v>0.375</v>
      </c>
      <c r="G91" s="40">
        <v>45518</v>
      </c>
      <c r="H91" s="41">
        <v>0.6875</v>
      </c>
      <c r="I91" s="41">
        <f t="shared" si="14"/>
        <v>0.3125</v>
      </c>
      <c r="J91" s="42">
        <f t="shared" si="15"/>
        <v>0.625</v>
      </c>
      <c r="K91" s="57">
        <v>2</v>
      </c>
      <c r="L91" s="57">
        <v>308</v>
      </c>
      <c r="M91" s="39" t="s">
        <v>46</v>
      </c>
      <c r="N91" s="43" t="s">
        <v>219</v>
      </c>
      <c r="O91" s="199">
        <v>2</v>
      </c>
      <c r="P91" s="61"/>
      <c r="Q91" s="61"/>
      <c r="R91" s="61"/>
      <c r="S91" s="61"/>
      <c r="T91" s="61"/>
      <c r="U91" s="61"/>
      <c r="V91" s="61"/>
      <c r="W91" s="61"/>
      <c r="X91" s="61"/>
      <c r="Y91" s="61"/>
      <c r="Z91" s="61"/>
      <c r="AA91" s="61"/>
      <c r="AB91" s="61"/>
      <c r="AC91" s="61"/>
      <c r="AD91" s="61"/>
      <c r="AE91" s="61"/>
      <c r="AF91" s="48">
        <v>10</v>
      </c>
      <c r="AG91" s="61"/>
      <c r="AH91" s="61"/>
      <c r="AI91" s="61"/>
      <c r="AJ91" s="61"/>
      <c r="AK91" s="61"/>
      <c r="AL91" s="61"/>
      <c r="AM91" s="68" t="s">
        <v>220</v>
      </c>
    </row>
    <row r="92" spans="1:39" s="27" customFormat="1" ht="51" customHeight="1">
      <c r="A92" s="133" t="s">
        <v>278</v>
      </c>
      <c r="B92" s="37"/>
      <c r="C92" s="38"/>
      <c r="D92" s="205"/>
      <c r="E92" s="40">
        <v>45525</v>
      </c>
      <c r="F92" s="69" t="s">
        <v>221</v>
      </c>
      <c r="G92" s="70"/>
      <c r="H92" s="70"/>
      <c r="I92" s="70"/>
      <c r="J92" s="71"/>
      <c r="K92" s="51"/>
      <c r="L92" s="51"/>
      <c r="M92" s="39" t="s">
        <v>46</v>
      </c>
      <c r="N92" s="72" t="s">
        <v>222</v>
      </c>
      <c r="O92" s="199"/>
      <c r="P92" s="48"/>
      <c r="Q92" s="48"/>
      <c r="R92" s="48"/>
      <c r="S92" s="48"/>
      <c r="T92" s="48"/>
      <c r="U92" s="48"/>
      <c r="V92" s="48"/>
      <c r="W92" s="48"/>
      <c r="X92" s="48"/>
      <c r="Y92" s="48"/>
      <c r="Z92" s="48"/>
      <c r="AA92" s="48"/>
      <c r="AB92" s="48"/>
      <c r="AC92" s="48"/>
      <c r="AD92" s="48"/>
      <c r="AE92" s="48"/>
      <c r="AF92" s="48"/>
      <c r="AG92" s="48"/>
      <c r="AH92" s="48"/>
      <c r="AI92" s="48"/>
      <c r="AJ92" s="48"/>
      <c r="AK92" s="48"/>
      <c r="AL92" s="48"/>
      <c r="AM92" s="73"/>
    </row>
    <row r="93" spans="1:39" s="27" customFormat="1" ht="67.5">
      <c r="A93" s="133" t="s">
        <v>278</v>
      </c>
      <c r="B93" s="37">
        <v>75</v>
      </c>
      <c r="C93" s="38" t="s">
        <v>45</v>
      </c>
      <c r="D93" s="205">
        <v>2</v>
      </c>
      <c r="E93" s="40">
        <v>45526</v>
      </c>
      <c r="F93" s="41">
        <v>0.375</v>
      </c>
      <c r="G93" s="40">
        <v>45526</v>
      </c>
      <c r="H93" s="41">
        <v>0.69444444444444442</v>
      </c>
      <c r="I93" s="41">
        <f>H93-F93</f>
        <v>0.31944444444444442</v>
      </c>
      <c r="J93" s="42">
        <f>I93*D93</f>
        <v>0.63888888888888884</v>
      </c>
      <c r="K93" s="57" t="s">
        <v>184</v>
      </c>
      <c r="L93" s="57" t="s">
        <v>223</v>
      </c>
      <c r="M93" s="39" t="s">
        <v>46</v>
      </c>
      <c r="N93" s="43" t="s">
        <v>224</v>
      </c>
      <c r="O93" s="199">
        <v>2</v>
      </c>
      <c r="P93" s="61"/>
      <c r="Q93" s="61">
        <v>2</v>
      </c>
      <c r="R93" s="61"/>
      <c r="S93" s="61"/>
      <c r="T93" s="61">
        <v>1</v>
      </c>
      <c r="U93" s="61"/>
      <c r="V93" s="61">
        <v>0.3</v>
      </c>
      <c r="W93" s="61">
        <v>4</v>
      </c>
      <c r="X93" s="61"/>
      <c r="Y93" s="61"/>
      <c r="Z93" s="61"/>
      <c r="AA93" s="61"/>
      <c r="AB93" s="61"/>
      <c r="AC93" s="61"/>
      <c r="AD93" s="61"/>
      <c r="AE93" s="61"/>
      <c r="AF93" s="61"/>
      <c r="AG93" s="61"/>
      <c r="AH93" s="61"/>
      <c r="AI93" s="61"/>
      <c r="AJ93" s="61"/>
      <c r="AK93" s="61"/>
      <c r="AL93" s="61"/>
      <c r="AM93" s="45"/>
    </row>
    <row r="94" spans="1:39" s="27" customFormat="1" ht="40.5">
      <c r="A94" s="133" t="s">
        <v>278</v>
      </c>
      <c r="B94" s="37">
        <v>76</v>
      </c>
      <c r="C94" s="38" t="s">
        <v>45</v>
      </c>
      <c r="D94" s="205">
        <v>2</v>
      </c>
      <c r="E94" s="40">
        <v>45527</v>
      </c>
      <c r="F94" s="41">
        <v>0.375</v>
      </c>
      <c r="G94" s="40">
        <v>45527</v>
      </c>
      <c r="H94" s="41">
        <v>0.69444444444444442</v>
      </c>
      <c r="I94" s="41">
        <f>H94-F94</f>
        <v>0.31944444444444442</v>
      </c>
      <c r="J94" s="42">
        <f>I94*D94</f>
        <v>0.63888888888888884</v>
      </c>
      <c r="K94" s="57">
        <v>9</v>
      </c>
      <c r="L94" s="57">
        <v>102</v>
      </c>
      <c r="M94" s="39" t="s">
        <v>46</v>
      </c>
      <c r="N94" s="43" t="s">
        <v>225</v>
      </c>
      <c r="O94" s="198">
        <v>2</v>
      </c>
      <c r="P94" s="59"/>
      <c r="Q94" s="59"/>
      <c r="R94" s="59"/>
      <c r="S94" s="59"/>
      <c r="T94" s="59"/>
      <c r="U94" s="59"/>
      <c r="V94" s="59"/>
      <c r="W94" s="59">
        <v>2</v>
      </c>
      <c r="X94" s="59"/>
      <c r="Y94" s="59"/>
      <c r="Z94" s="59"/>
      <c r="AA94" s="59"/>
      <c r="AB94" s="59"/>
      <c r="AC94" s="59"/>
      <c r="AD94" s="59"/>
      <c r="AE94" s="59"/>
      <c r="AF94" s="59"/>
      <c r="AG94" s="59"/>
      <c r="AH94" s="59"/>
      <c r="AI94" s="59"/>
      <c r="AJ94" s="59"/>
      <c r="AK94" s="59"/>
      <c r="AL94" s="59"/>
      <c r="AM94" s="45"/>
    </row>
    <row r="95" spans="1:39" s="27" customFormat="1" ht="54">
      <c r="A95" s="133" t="s">
        <v>278</v>
      </c>
      <c r="B95" s="37"/>
      <c r="C95" s="38"/>
      <c r="D95" s="205"/>
      <c r="E95" s="40"/>
      <c r="F95" s="41"/>
      <c r="G95" s="40"/>
      <c r="H95" s="41"/>
      <c r="I95" s="41"/>
      <c r="J95" s="42"/>
      <c r="K95" s="57" t="s">
        <v>79</v>
      </c>
      <c r="L95" s="57" t="s">
        <v>226</v>
      </c>
      <c r="M95" s="39" t="s">
        <v>46</v>
      </c>
      <c r="N95" s="43" t="s">
        <v>227</v>
      </c>
      <c r="O95" s="199"/>
      <c r="P95" s="61"/>
      <c r="Q95" s="61">
        <v>2</v>
      </c>
      <c r="R95" s="61"/>
      <c r="S95" s="61"/>
      <c r="T95" s="61"/>
      <c r="U95" s="61"/>
      <c r="V95" s="61"/>
      <c r="W95" s="61"/>
      <c r="X95" s="59"/>
      <c r="Y95" s="61"/>
      <c r="Z95" s="61"/>
      <c r="AA95" s="61"/>
      <c r="AB95" s="61">
        <v>5</v>
      </c>
      <c r="AC95" s="61"/>
      <c r="AD95" s="61"/>
      <c r="AE95" s="61"/>
      <c r="AF95" s="61"/>
      <c r="AG95" s="61"/>
      <c r="AH95" s="61"/>
      <c r="AI95" s="61"/>
      <c r="AJ95" s="61"/>
      <c r="AK95" s="61"/>
      <c r="AL95" s="61"/>
      <c r="AM95" s="45"/>
    </row>
    <row r="96" spans="1:39" s="27" customFormat="1" ht="27">
      <c r="A96" s="133" t="s">
        <v>278</v>
      </c>
      <c r="B96" s="37">
        <v>77</v>
      </c>
      <c r="C96" s="137" t="s">
        <v>45</v>
      </c>
      <c r="D96" s="205">
        <v>1</v>
      </c>
      <c r="E96" s="55">
        <v>45530</v>
      </c>
      <c r="F96" s="56">
        <v>0.58333333333333337</v>
      </c>
      <c r="G96" s="55">
        <v>45530</v>
      </c>
      <c r="H96" s="56">
        <v>0.625</v>
      </c>
      <c r="I96" s="56">
        <f t="shared" ref="I96:I112" si="16">H96-F96</f>
        <v>4.166666666666663E-2</v>
      </c>
      <c r="J96" s="64">
        <f t="shared" ref="J96:J112" si="17">I96*D96</f>
        <v>4.166666666666663E-2</v>
      </c>
      <c r="K96" s="57">
        <v>2</v>
      </c>
      <c r="L96" s="57">
        <v>403</v>
      </c>
      <c r="M96" s="54" t="s">
        <v>46</v>
      </c>
      <c r="N96" s="58" t="s">
        <v>228</v>
      </c>
      <c r="O96" s="198">
        <v>1</v>
      </c>
      <c r="P96" s="59"/>
      <c r="Q96" s="59"/>
      <c r="R96" s="59"/>
      <c r="S96" s="59"/>
      <c r="T96" s="59"/>
      <c r="U96" s="59"/>
      <c r="V96" s="59"/>
      <c r="W96" s="59"/>
      <c r="X96" s="59"/>
      <c r="Y96" s="59"/>
      <c r="Z96" s="59"/>
      <c r="AA96" s="59"/>
      <c r="AB96" s="59"/>
      <c r="AC96" s="59"/>
      <c r="AD96" s="59"/>
      <c r="AE96" s="59"/>
      <c r="AF96" s="59"/>
      <c r="AG96" s="59"/>
      <c r="AH96" s="59"/>
      <c r="AI96" s="59"/>
      <c r="AJ96" s="59"/>
      <c r="AK96" s="59"/>
      <c r="AL96" s="59"/>
      <c r="AM96" s="62" t="s">
        <v>167</v>
      </c>
    </row>
    <row r="97" spans="1:39" s="27" customFormat="1" ht="67.5">
      <c r="A97" s="133" t="s">
        <v>278</v>
      </c>
      <c r="B97" s="37">
        <v>78</v>
      </c>
      <c r="C97" s="137" t="s">
        <v>45</v>
      </c>
      <c r="D97" s="205">
        <v>2</v>
      </c>
      <c r="E97" s="55">
        <v>45531</v>
      </c>
      <c r="F97" s="56">
        <v>0.375</v>
      </c>
      <c r="G97" s="55">
        <v>45531</v>
      </c>
      <c r="H97" s="56">
        <v>0.70138888888888884</v>
      </c>
      <c r="I97" s="56">
        <f t="shared" si="16"/>
        <v>0.32638888888888884</v>
      </c>
      <c r="J97" s="64">
        <f t="shared" si="17"/>
        <v>0.65277777777777768</v>
      </c>
      <c r="K97" s="57" t="s">
        <v>79</v>
      </c>
      <c r="L97" s="57" t="s">
        <v>229</v>
      </c>
      <c r="M97" s="54" t="s">
        <v>46</v>
      </c>
      <c r="N97" s="58" t="s">
        <v>230</v>
      </c>
      <c r="O97" s="198">
        <v>2</v>
      </c>
      <c r="P97" s="59"/>
      <c r="Q97" s="59">
        <v>3</v>
      </c>
      <c r="R97" s="59"/>
      <c r="S97" s="59"/>
      <c r="T97" s="59"/>
      <c r="U97" s="59">
        <v>4</v>
      </c>
      <c r="V97" s="59"/>
      <c r="W97" s="59">
        <v>6</v>
      </c>
      <c r="X97" s="59"/>
      <c r="Y97" s="59"/>
      <c r="Z97" s="59"/>
      <c r="AA97" s="59"/>
      <c r="AB97" s="59"/>
      <c r="AC97" s="59"/>
      <c r="AD97" s="59"/>
      <c r="AE97" s="59"/>
      <c r="AF97" s="59"/>
      <c r="AG97" s="59"/>
      <c r="AH97" s="59"/>
      <c r="AI97" s="59"/>
      <c r="AJ97" s="59"/>
      <c r="AK97" s="59"/>
      <c r="AL97" s="59"/>
      <c r="AM97" s="74"/>
    </row>
    <row r="98" spans="1:39" s="27" customFormat="1" ht="27">
      <c r="A98" s="133" t="s">
        <v>278</v>
      </c>
      <c r="B98" s="37">
        <v>79</v>
      </c>
      <c r="C98" s="38" t="s">
        <v>45</v>
      </c>
      <c r="D98" s="205">
        <v>2</v>
      </c>
      <c r="E98" s="40">
        <v>45533</v>
      </c>
      <c r="F98" s="41">
        <v>0.58333333333333337</v>
      </c>
      <c r="G98" s="40">
        <v>45533</v>
      </c>
      <c r="H98" s="41">
        <v>0.65277777777777779</v>
      </c>
      <c r="I98" s="41">
        <f t="shared" si="16"/>
        <v>6.944444444444442E-2</v>
      </c>
      <c r="J98" s="42">
        <f t="shared" si="17"/>
        <v>0.13888888888888884</v>
      </c>
      <c r="K98" s="57">
        <v>9</v>
      </c>
      <c r="L98" s="57">
        <v>102</v>
      </c>
      <c r="M98" s="39" t="s">
        <v>46</v>
      </c>
      <c r="N98" s="43" t="s">
        <v>231</v>
      </c>
      <c r="O98" s="198"/>
      <c r="P98" s="59">
        <v>6</v>
      </c>
      <c r="Q98" s="59"/>
      <c r="R98" s="59"/>
      <c r="S98" s="59"/>
      <c r="T98" s="59"/>
      <c r="U98" s="59"/>
      <c r="V98" s="59"/>
      <c r="W98" s="59"/>
      <c r="X98" s="59"/>
      <c r="Y98" s="59"/>
      <c r="Z98" s="59"/>
      <c r="AA98" s="59"/>
      <c r="AB98" s="59"/>
      <c r="AC98" s="59"/>
      <c r="AD98" s="59"/>
      <c r="AE98" s="59"/>
      <c r="AF98" s="59"/>
      <c r="AG98" s="59"/>
      <c r="AH98" s="59"/>
      <c r="AI98" s="59"/>
      <c r="AJ98" s="59"/>
      <c r="AK98" s="59"/>
      <c r="AL98" s="59"/>
      <c r="AM98" s="45"/>
    </row>
    <row r="99" spans="1:39" s="27" customFormat="1" ht="40.5">
      <c r="A99" s="133" t="s">
        <v>278</v>
      </c>
      <c r="B99" s="37">
        <v>80</v>
      </c>
      <c r="C99" s="137" t="s">
        <v>45</v>
      </c>
      <c r="D99" s="205">
        <v>1</v>
      </c>
      <c r="E99" s="55">
        <v>45534</v>
      </c>
      <c r="F99" s="56">
        <v>0.375</v>
      </c>
      <c r="G99" s="55">
        <v>45534</v>
      </c>
      <c r="H99" s="56">
        <v>0.5625</v>
      </c>
      <c r="I99" s="56">
        <f t="shared" si="16"/>
        <v>0.1875</v>
      </c>
      <c r="J99" s="64">
        <f t="shared" si="17"/>
        <v>0.1875</v>
      </c>
      <c r="K99" s="57" t="s">
        <v>150</v>
      </c>
      <c r="L99" s="57" t="s">
        <v>232</v>
      </c>
      <c r="M99" s="54" t="s">
        <v>46</v>
      </c>
      <c r="N99" s="58" t="s">
        <v>233</v>
      </c>
      <c r="O99" s="199"/>
      <c r="P99" s="61"/>
      <c r="Q99" s="59"/>
      <c r="R99" s="61"/>
      <c r="S99" s="61"/>
      <c r="T99" s="61"/>
      <c r="U99" s="61"/>
      <c r="V99" s="61"/>
      <c r="W99" s="61"/>
      <c r="X99" s="61"/>
      <c r="Y99" s="61"/>
      <c r="Z99" s="61"/>
      <c r="AA99" s="61"/>
      <c r="AB99" s="61"/>
      <c r="AC99" s="61"/>
      <c r="AD99" s="61"/>
      <c r="AE99" s="61"/>
      <c r="AF99" s="61"/>
      <c r="AG99" s="61"/>
      <c r="AH99" s="61"/>
      <c r="AI99" s="61"/>
      <c r="AJ99" s="61"/>
      <c r="AK99" s="61">
        <v>27</v>
      </c>
      <c r="AL99" s="61"/>
      <c r="AM99" s="58" t="s">
        <v>126</v>
      </c>
    </row>
    <row r="100" spans="1:39" s="27" customFormat="1" ht="54">
      <c r="A100" s="133" t="s">
        <v>278</v>
      </c>
      <c r="B100" s="37">
        <v>81</v>
      </c>
      <c r="C100" s="38" t="s">
        <v>45</v>
      </c>
      <c r="D100" s="205">
        <v>2</v>
      </c>
      <c r="E100" s="40">
        <v>45544</v>
      </c>
      <c r="F100" s="41">
        <v>0.375</v>
      </c>
      <c r="G100" s="40">
        <v>45544</v>
      </c>
      <c r="H100" s="41">
        <v>0.59027777777777779</v>
      </c>
      <c r="I100" s="41">
        <f t="shared" si="16"/>
        <v>0.21527777777777779</v>
      </c>
      <c r="J100" s="42">
        <f t="shared" si="17"/>
        <v>0.43055555555555558</v>
      </c>
      <c r="K100" s="51" t="s">
        <v>234</v>
      </c>
      <c r="L100" s="51" t="s">
        <v>235</v>
      </c>
      <c r="M100" s="39" t="s">
        <v>46</v>
      </c>
      <c r="N100" s="43" t="s">
        <v>236</v>
      </c>
      <c r="O100" s="198">
        <v>2</v>
      </c>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5"/>
    </row>
    <row r="101" spans="1:39" s="27" customFormat="1" ht="54">
      <c r="A101" s="133" t="s">
        <v>278</v>
      </c>
      <c r="B101" s="37">
        <v>82</v>
      </c>
      <c r="C101" s="38" t="s">
        <v>45</v>
      </c>
      <c r="D101" s="205">
        <v>2</v>
      </c>
      <c r="E101" s="40">
        <v>45546</v>
      </c>
      <c r="F101" s="41">
        <v>0.375</v>
      </c>
      <c r="G101" s="40">
        <v>45546</v>
      </c>
      <c r="H101" s="41">
        <v>0.69444444444444442</v>
      </c>
      <c r="I101" s="41">
        <f t="shared" si="16"/>
        <v>0.31944444444444442</v>
      </c>
      <c r="J101" s="42">
        <f t="shared" si="17"/>
        <v>0.63888888888888884</v>
      </c>
      <c r="K101" s="51" t="s">
        <v>237</v>
      </c>
      <c r="L101" s="51" t="s">
        <v>238</v>
      </c>
      <c r="M101" s="39" t="s">
        <v>46</v>
      </c>
      <c r="N101" s="43" t="s">
        <v>239</v>
      </c>
      <c r="O101" s="199">
        <v>2</v>
      </c>
      <c r="P101" s="48"/>
      <c r="Q101" s="44">
        <v>2</v>
      </c>
      <c r="R101" s="48"/>
      <c r="S101" s="48"/>
      <c r="T101" s="48"/>
      <c r="U101" s="48"/>
      <c r="V101" s="48"/>
      <c r="W101" s="48"/>
      <c r="X101" s="48"/>
      <c r="Y101" s="48">
        <v>7.2</v>
      </c>
      <c r="Z101" s="48"/>
      <c r="AA101" s="48"/>
      <c r="AB101" s="48"/>
      <c r="AC101" s="48"/>
      <c r="AD101" s="48"/>
      <c r="AE101" s="48"/>
      <c r="AF101" s="48"/>
      <c r="AG101" s="48"/>
      <c r="AH101" s="48"/>
      <c r="AI101" s="48"/>
      <c r="AJ101" s="48"/>
      <c r="AK101" s="48"/>
      <c r="AL101" s="48"/>
      <c r="AM101" s="45" t="s">
        <v>240</v>
      </c>
    </row>
    <row r="102" spans="1:39" s="27" customFormat="1" ht="40.5">
      <c r="A102" s="133" t="s">
        <v>278</v>
      </c>
      <c r="B102" s="37">
        <v>83</v>
      </c>
      <c r="C102" s="38" t="s">
        <v>45</v>
      </c>
      <c r="D102" s="205">
        <v>2</v>
      </c>
      <c r="E102" s="40">
        <v>45562</v>
      </c>
      <c r="F102" s="41">
        <v>0.375</v>
      </c>
      <c r="G102" s="40">
        <v>45562</v>
      </c>
      <c r="H102" s="41">
        <v>0.61111111111111116</v>
      </c>
      <c r="I102" s="41">
        <f t="shared" si="16"/>
        <v>0.23611111111111116</v>
      </c>
      <c r="J102" s="42">
        <f t="shared" si="17"/>
        <v>0.47222222222222232</v>
      </c>
      <c r="K102" s="51" t="s">
        <v>241</v>
      </c>
      <c r="L102" s="51" t="s">
        <v>242</v>
      </c>
      <c r="M102" s="39" t="s">
        <v>46</v>
      </c>
      <c r="N102" s="43" t="s">
        <v>243</v>
      </c>
      <c r="O102" s="198">
        <v>2</v>
      </c>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5"/>
    </row>
    <row r="103" spans="1:39" s="27" customFormat="1" ht="40.5">
      <c r="A103" s="133" t="s">
        <v>278</v>
      </c>
      <c r="B103" s="37"/>
      <c r="C103" s="38" t="s">
        <v>45</v>
      </c>
      <c r="D103" s="205">
        <v>1</v>
      </c>
      <c r="E103" s="40">
        <v>45562</v>
      </c>
      <c r="F103" s="41">
        <v>0.375</v>
      </c>
      <c r="G103" s="40">
        <v>45562</v>
      </c>
      <c r="H103" s="41">
        <v>0.69444444444444442</v>
      </c>
      <c r="I103" s="41">
        <f t="shared" si="16"/>
        <v>0.31944444444444442</v>
      </c>
      <c r="J103" s="42">
        <f t="shared" si="17"/>
        <v>0.31944444444444442</v>
      </c>
      <c r="K103" s="51" t="s">
        <v>156</v>
      </c>
      <c r="L103" s="51" t="s">
        <v>244</v>
      </c>
      <c r="M103" s="39" t="s">
        <v>46</v>
      </c>
      <c r="N103" s="43" t="s">
        <v>245</v>
      </c>
      <c r="O103" s="199" t="s">
        <v>71</v>
      </c>
      <c r="P103" s="48">
        <v>14</v>
      </c>
      <c r="Q103" s="44"/>
      <c r="R103" s="48"/>
      <c r="S103" s="48"/>
      <c r="T103" s="48"/>
      <c r="U103" s="48"/>
      <c r="V103" s="48"/>
      <c r="W103" s="48"/>
      <c r="X103" s="48"/>
      <c r="Y103" s="48"/>
      <c r="Z103" s="48"/>
      <c r="AA103" s="48"/>
      <c r="AB103" s="48"/>
      <c r="AC103" s="48"/>
      <c r="AD103" s="48"/>
      <c r="AE103" s="48"/>
      <c r="AF103" s="48"/>
      <c r="AG103" s="48"/>
      <c r="AH103" s="48"/>
      <c r="AI103" s="48"/>
      <c r="AJ103" s="48"/>
      <c r="AK103" s="48"/>
      <c r="AL103" s="48"/>
      <c r="AM103" s="43"/>
    </row>
    <row r="104" spans="1:39" s="27" customFormat="1" ht="40.5">
      <c r="A104" s="133" t="s">
        <v>278</v>
      </c>
      <c r="B104" s="37">
        <v>84</v>
      </c>
      <c r="C104" s="38" t="s">
        <v>45</v>
      </c>
      <c r="D104" s="205">
        <v>1</v>
      </c>
      <c r="E104" s="40">
        <v>45573</v>
      </c>
      <c r="F104" s="41">
        <v>0.375</v>
      </c>
      <c r="G104" s="40">
        <v>45573</v>
      </c>
      <c r="H104" s="41">
        <v>0.6875</v>
      </c>
      <c r="I104" s="41">
        <f t="shared" si="16"/>
        <v>0.3125</v>
      </c>
      <c r="J104" s="42">
        <f t="shared" si="17"/>
        <v>0.3125</v>
      </c>
      <c r="K104" s="51" t="s">
        <v>246</v>
      </c>
      <c r="L104" s="51" t="s">
        <v>247</v>
      </c>
      <c r="M104" s="39" t="s">
        <v>46</v>
      </c>
      <c r="N104" s="43" t="s">
        <v>248</v>
      </c>
      <c r="O104" s="198">
        <v>1</v>
      </c>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5" t="s">
        <v>249</v>
      </c>
    </row>
    <row r="105" spans="1:39" s="27" customFormat="1" ht="27">
      <c r="A105" s="133" t="s">
        <v>278</v>
      </c>
      <c r="B105" s="37">
        <v>85</v>
      </c>
      <c r="C105" s="38" t="s">
        <v>45</v>
      </c>
      <c r="D105" s="205">
        <v>1</v>
      </c>
      <c r="E105" s="40">
        <v>45575</v>
      </c>
      <c r="F105" s="41">
        <v>0.375</v>
      </c>
      <c r="G105" s="40">
        <v>45575</v>
      </c>
      <c r="H105" s="41">
        <v>0.67361111111111116</v>
      </c>
      <c r="I105" s="41">
        <f t="shared" si="16"/>
        <v>0.29861111111111116</v>
      </c>
      <c r="J105" s="42">
        <f t="shared" si="17"/>
        <v>0.29861111111111116</v>
      </c>
      <c r="K105" s="51" t="s">
        <v>246</v>
      </c>
      <c r="L105" s="51" t="s">
        <v>247</v>
      </c>
      <c r="M105" s="39" t="s">
        <v>46</v>
      </c>
      <c r="N105" s="43" t="s">
        <v>250</v>
      </c>
      <c r="O105" s="199">
        <v>1</v>
      </c>
      <c r="P105" s="48"/>
      <c r="Q105" s="44"/>
      <c r="R105" s="48"/>
      <c r="S105" s="48"/>
      <c r="T105" s="48"/>
      <c r="U105" s="48"/>
      <c r="V105" s="48"/>
      <c r="W105" s="48"/>
      <c r="X105" s="48"/>
      <c r="Y105" s="48"/>
      <c r="Z105" s="48"/>
      <c r="AA105" s="48"/>
      <c r="AB105" s="48"/>
      <c r="AC105" s="48"/>
      <c r="AD105" s="48"/>
      <c r="AE105" s="48"/>
      <c r="AF105" s="48"/>
      <c r="AG105" s="48"/>
      <c r="AH105" s="48"/>
      <c r="AI105" s="48"/>
      <c r="AJ105" s="48"/>
      <c r="AK105" s="48"/>
      <c r="AL105" s="48"/>
      <c r="AM105" s="43"/>
    </row>
    <row r="106" spans="1:39" s="27" customFormat="1" ht="40.5">
      <c r="A106" s="133" t="s">
        <v>278</v>
      </c>
      <c r="B106" s="37">
        <v>86</v>
      </c>
      <c r="C106" s="38" t="s">
        <v>45</v>
      </c>
      <c r="D106" s="205">
        <v>2</v>
      </c>
      <c r="E106" s="40">
        <v>45576</v>
      </c>
      <c r="F106" s="41">
        <v>0.375</v>
      </c>
      <c r="G106" s="40">
        <v>45576</v>
      </c>
      <c r="H106" s="41">
        <v>0.6875</v>
      </c>
      <c r="I106" s="41">
        <f t="shared" si="16"/>
        <v>0.3125</v>
      </c>
      <c r="J106" s="42">
        <f t="shared" si="17"/>
        <v>0.625</v>
      </c>
      <c r="K106" s="51" t="s">
        <v>246</v>
      </c>
      <c r="L106" s="51" t="s">
        <v>247</v>
      </c>
      <c r="M106" s="39" t="s">
        <v>46</v>
      </c>
      <c r="N106" s="43" t="s">
        <v>251</v>
      </c>
      <c r="O106" s="198">
        <v>2</v>
      </c>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75" t="s">
        <v>252</v>
      </c>
    </row>
    <row r="107" spans="1:39" s="27" customFormat="1" ht="27">
      <c r="A107" s="133" t="s">
        <v>278</v>
      </c>
      <c r="B107" s="37">
        <v>87</v>
      </c>
      <c r="C107" s="38" t="s">
        <v>45</v>
      </c>
      <c r="D107" s="205">
        <v>2</v>
      </c>
      <c r="E107" s="40">
        <v>45580</v>
      </c>
      <c r="F107" s="41">
        <v>0.41666666666666669</v>
      </c>
      <c r="G107" s="40">
        <v>45580</v>
      </c>
      <c r="H107" s="41">
        <v>0.64583333333333337</v>
      </c>
      <c r="I107" s="41">
        <f t="shared" si="16"/>
        <v>0.22916666666666669</v>
      </c>
      <c r="J107" s="42">
        <f t="shared" si="17"/>
        <v>0.45833333333333337</v>
      </c>
      <c r="K107" s="51" t="s">
        <v>253</v>
      </c>
      <c r="L107" s="51">
        <v>308</v>
      </c>
      <c r="M107" s="39" t="s">
        <v>46</v>
      </c>
      <c r="N107" s="43" t="s">
        <v>254</v>
      </c>
      <c r="O107" s="203"/>
      <c r="P107" s="48"/>
      <c r="Q107" s="44"/>
      <c r="R107" s="48"/>
      <c r="S107" s="48"/>
      <c r="T107" s="48"/>
      <c r="U107" s="48"/>
      <c r="V107" s="48"/>
      <c r="W107" s="48"/>
      <c r="X107" s="48"/>
      <c r="Y107" s="48"/>
      <c r="Z107" s="48"/>
      <c r="AA107" s="48"/>
      <c r="AB107" s="48"/>
      <c r="AC107" s="48"/>
      <c r="AD107" s="48"/>
      <c r="AE107" s="48"/>
      <c r="AF107" s="48"/>
      <c r="AG107" s="48"/>
      <c r="AH107" s="48"/>
      <c r="AI107" s="48"/>
      <c r="AJ107" s="48"/>
      <c r="AK107" s="48"/>
      <c r="AL107" s="48"/>
      <c r="AM107" s="45" t="s">
        <v>255</v>
      </c>
    </row>
    <row r="108" spans="1:39" s="27" customFormat="1" ht="27">
      <c r="A108" s="133" t="s">
        <v>278</v>
      </c>
      <c r="B108" s="37">
        <v>88</v>
      </c>
      <c r="C108" s="38" t="s">
        <v>45</v>
      </c>
      <c r="D108" s="205">
        <v>2</v>
      </c>
      <c r="E108" s="40">
        <v>45581</v>
      </c>
      <c r="F108" s="41">
        <v>0.375</v>
      </c>
      <c r="G108" s="40">
        <v>45581</v>
      </c>
      <c r="H108" s="41">
        <v>0.58333333333333337</v>
      </c>
      <c r="I108" s="41">
        <f t="shared" si="16"/>
        <v>0.20833333333333337</v>
      </c>
      <c r="J108" s="42">
        <f t="shared" si="17"/>
        <v>0.41666666666666674</v>
      </c>
      <c r="K108" s="51" t="s">
        <v>256</v>
      </c>
      <c r="L108" s="51" t="s">
        <v>257</v>
      </c>
      <c r="M108" s="39" t="s">
        <v>46</v>
      </c>
      <c r="N108" s="43" t="s">
        <v>258</v>
      </c>
      <c r="O108" s="203"/>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5" t="s">
        <v>259</v>
      </c>
    </row>
    <row r="109" spans="1:39" s="27" customFormat="1">
      <c r="A109" s="133" t="s">
        <v>278</v>
      </c>
      <c r="B109" s="37">
        <v>89</v>
      </c>
      <c r="C109" s="38" t="s">
        <v>45</v>
      </c>
      <c r="D109" s="205">
        <v>1</v>
      </c>
      <c r="E109" s="40">
        <v>45581</v>
      </c>
      <c r="F109" s="41">
        <v>0.61805555555555558</v>
      </c>
      <c r="G109" s="40">
        <v>45581</v>
      </c>
      <c r="H109" s="41">
        <v>0.63194444444444442</v>
      </c>
      <c r="I109" s="41">
        <f t="shared" si="16"/>
        <v>1.388888888888884E-2</v>
      </c>
      <c r="J109" s="42">
        <f t="shared" si="17"/>
        <v>1.388888888888884E-2</v>
      </c>
      <c r="K109" s="51" t="s">
        <v>246</v>
      </c>
      <c r="L109" s="51">
        <v>203</v>
      </c>
      <c r="M109" s="39" t="s">
        <v>46</v>
      </c>
      <c r="N109" s="43" t="s">
        <v>260</v>
      </c>
      <c r="O109" s="199" t="s">
        <v>71</v>
      </c>
      <c r="P109" s="48"/>
      <c r="Q109" s="44"/>
      <c r="R109" s="48"/>
      <c r="S109" s="48"/>
      <c r="T109" s="48"/>
      <c r="U109" s="48"/>
      <c r="V109" s="48"/>
      <c r="W109" s="48"/>
      <c r="X109" s="48"/>
      <c r="Y109" s="48"/>
      <c r="Z109" s="48"/>
      <c r="AA109" s="48"/>
      <c r="AB109" s="48"/>
      <c r="AC109" s="48"/>
      <c r="AD109" s="48"/>
      <c r="AE109" s="48"/>
      <c r="AF109" s="48"/>
      <c r="AG109" s="48"/>
      <c r="AH109" s="48"/>
      <c r="AI109" s="48"/>
      <c r="AJ109" s="48"/>
      <c r="AK109" s="48"/>
      <c r="AL109" s="48"/>
      <c r="AM109" s="45" t="s">
        <v>261</v>
      </c>
    </row>
    <row r="110" spans="1:39" s="27" customFormat="1" ht="27">
      <c r="A110" s="133" t="s">
        <v>278</v>
      </c>
      <c r="B110" s="37">
        <v>90</v>
      </c>
      <c r="C110" s="38" t="s">
        <v>45</v>
      </c>
      <c r="D110" s="205">
        <v>1</v>
      </c>
      <c r="E110" s="40">
        <v>45582</v>
      </c>
      <c r="F110" s="41">
        <v>0.35416666666666669</v>
      </c>
      <c r="G110" s="40">
        <v>45582</v>
      </c>
      <c r="H110" s="41">
        <v>0.66666666666666663</v>
      </c>
      <c r="I110" s="41">
        <f t="shared" si="16"/>
        <v>0.31249999999999994</v>
      </c>
      <c r="J110" s="42">
        <f t="shared" si="17"/>
        <v>0.31249999999999994</v>
      </c>
      <c r="K110" s="51" t="s">
        <v>262</v>
      </c>
      <c r="L110" s="51" t="s">
        <v>263</v>
      </c>
      <c r="M110" s="39" t="s">
        <v>46</v>
      </c>
      <c r="N110" s="43" t="s">
        <v>264</v>
      </c>
      <c r="O110" s="198">
        <v>1</v>
      </c>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3" t="s">
        <v>265</v>
      </c>
    </row>
    <row r="111" spans="1:39" s="27" customFormat="1" ht="27">
      <c r="A111" s="133" t="s">
        <v>278</v>
      </c>
      <c r="B111" s="37">
        <v>91</v>
      </c>
      <c r="C111" s="38" t="s">
        <v>45</v>
      </c>
      <c r="D111" s="205">
        <v>1</v>
      </c>
      <c r="E111" s="40">
        <v>45588</v>
      </c>
      <c r="F111" s="41">
        <v>0.41666666666666669</v>
      </c>
      <c r="G111" s="40">
        <v>45588</v>
      </c>
      <c r="H111" s="41">
        <v>0.47916666666666669</v>
      </c>
      <c r="I111" s="41">
        <f t="shared" si="16"/>
        <v>6.25E-2</v>
      </c>
      <c r="J111" s="42">
        <f t="shared" si="17"/>
        <v>6.25E-2</v>
      </c>
      <c r="K111" s="51" t="s">
        <v>246</v>
      </c>
      <c r="L111" s="51">
        <v>203</v>
      </c>
      <c r="M111" s="39" t="s">
        <v>46</v>
      </c>
      <c r="N111" s="43" t="s">
        <v>266</v>
      </c>
      <c r="O111" s="254">
        <v>2</v>
      </c>
      <c r="P111" s="48"/>
      <c r="Q111" s="44">
        <v>1</v>
      </c>
      <c r="R111" s="48"/>
      <c r="S111" s="48"/>
      <c r="T111" s="48"/>
      <c r="U111" s="48"/>
      <c r="V111" s="48"/>
      <c r="W111" s="48"/>
      <c r="X111" s="48"/>
      <c r="Y111" s="48"/>
      <c r="Z111" s="48"/>
      <c r="AA111" s="48"/>
      <c r="AB111" s="48"/>
      <c r="AC111" s="48"/>
      <c r="AD111" s="48"/>
      <c r="AE111" s="48"/>
      <c r="AF111" s="48"/>
      <c r="AG111" s="48"/>
      <c r="AH111" s="48"/>
      <c r="AI111" s="48"/>
      <c r="AJ111" s="48"/>
      <c r="AK111" s="48"/>
      <c r="AL111" s="48"/>
      <c r="AM111" s="45"/>
    </row>
    <row r="112" spans="1:39" s="27" customFormat="1" ht="40.5">
      <c r="A112" s="133" t="s">
        <v>278</v>
      </c>
      <c r="B112" s="138">
        <v>92</v>
      </c>
      <c r="C112" s="139" t="s">
        <v>45</v>
      </c>
      <c r="D112" s="206">
        <v>2</v>
      </c>
      <c r="E112" s="141">
        <v>45594</v>
      </c>
      <c r="F112" s="142">
        <v>0.375</v>
      </c>
      <c r="G112" s="141">
        <v>45594</v>
      </c>
      <c r="H112" s="142">
        <v>0.6875</v>
      </c>
      <c r="I112" s="142">
        <f t="shared" si="16"/>
        <v>0.3125</v>
      </c>
      <c r="J112" s="143">
        <f t="shared" si="17"/>
        <v>0.625</v>
      </c>
      <c r="K112" s="144">
        <v>103</v>
      </c>
      <c r="L112" s="144">
        <v>203</v>
      </c>
      <c r="M112" s="140" t="s">
        <v>46</v>
      </c>
      <c r="N112" s="145" t="s">
        <v>267</v>
      </c>
      <c r="O112" s="255"/>
      <c r="P112" s="146">
        <v>2</v>
      </c>
      <c r="Q112" s="146">
        <v>3</v>
      </c>
      <c r="R112" s="146"/>
      <c r="S112" s="146"/>
      <c r="T112" s="146"/>
      <c r="U112" s="146"/>
      <c r="V112" s="146"/>
      <c r="W112" s="146"/>
      <c r="X112" s="146">
        <v>2</v>
      </c>
      <c r="Y112" s="146"/>
      <c r="Z112" s="146"/>
      <c r="AA112" s="146"/>
      <c r="AB112" s="146"/>
      <c r="AC112" s="146"/>
      <c r="AD112" s="146"/>
      <c r="AE112" s="146"/>
      <c r="AF112" s="146"/>
      <c r="AG112" s="146"/>
      <c r="AH112" s="146"/>
      <c r="AI112" s="146"/>
      <c r="AJ112" s="146"/>
      <c r="AK112" s="146"/>
      <c r="AL112" s="146"/>
      <c r="AM112" s="145"/>
    </row>
    <row r="113" spans="1:40" ht="34.5" customHeight="1">
      <c r="A113" s="120"/>
      <c r="B113" s="248" t="s">
        <v>128</v>
      </c>
      <c r="C113" s="249"/>
      <c r="D113" s="216">
        <f>SUM(D6:D112)</f>
        <v>183</v>
      </c>
      <c r="E113" s="17"/>
      <c r="F113" s="18"/>
      <c r="G113" s="17"/>
      <c r="H113" s="19"/>
      <c r="I113" s="20"/>
      <c r="J113" s="20"/>
      <c r="K113" s="21"/>
      <c r="L113" s="22"/>
      <c r="M113" s="21"/>
      <c r="N113" s="23"/>
      <c r="O113" s="217">
        <f t="shared" ref="O113:AB113" si="18">SUM(O6:O112)</f>
        <v>143.5</v>
      </c>
      <c r="P113" s="218">
        <f t="shared" si="18"/>
        <v>225</v>
      </c>
      <c r="Q113" s="218">
        <f t="shared" si="18"/>
        <v>80</v>
      </c>
      <c r="R113" s="218">
        <f t="shared" si="18"/>
        <v>6</v>
      </c>
      <c r="S113" s="218">
        <f t="shared" si="18"/>
        <v>6</v>
      </c>
      <c r="T113" s="218">
        <f t="shared" si="18"/>
        <v>20</v>
      </c>
      <c r="U113" s="218">
        <f t="shared" si="18"/>
        <v>10.5</v>
      </c>
      <c r="V113" s="218">
        <f t="shared" si="18"/>
        <v>4.7000000000000011</v>
      </c>
      <c r="W113" s="218">
        <f t="shared" si="18"/>
        <v>59</v>
      </c>
      <c r="X113" s="218">
        <f t="shared" si="18"/>
        <v>14</v>
      </c>
      <c r="Y113" s="218">
        <f t="shared" si="18"/>
        <v>38.4</v>
      </c>
      <c r="Z113" s="218">
        <f t="shared" si="18"/>
        <v>2</v>
      </c>
      <c r="AA113" s="218">
        <f t="shared" si="18"/>
        <v>2</v>
      </c>
      <c r="AB113" s="218">
        <f t="shared" si="18"/>
        <v>25</v>
      </c>
      <c r="AC113" s="218">
        <f t="shared" ref="AC113:AL113" si="19">SUM(AC6:AC112)</f>
        <v>2</v>
      </c>
      <c r="AD113" s="218">
        <f t="shared" si="19"/>
        <v>3</v>
      </c>
      <c r="AE113" s="218">
        <f t="shared" si="19"/>
        <v>8</v>
      </c>
      <c r="AF113" s="218">
        <f t="shared" si="19"/>
        <v>50</v>
      </c>
      <c r="AG113" s="218">
        <f t="shared" si="19"/>
        <v>6</v>
      </c>
      <c r="AH113" s="218">
        <f t="shared" si="19"/>
        <v>1</v>
      </c>
      <c r="AI113" s="218">
        <f t="shared" si="19"/>
        <v>6</v>
      </c>
      <c r="AJ113" s="218">
        <f t="shared" si="19"/>
        <v>41</v>
      </c>
      <c r="AK113" s="218">
        <f t="shared" si="19"/>
        <v>42</v>
      </c>
      <c r="AL113" s="218">
        <f t="shared" si="19"/>
        <v>1</v>
      </c>
      <c r="AM113" s="24"/>
    </row>
    <row r="114" spans="1:40" ht="30" customHeight="1">
      <c r="AN114" s="25"/>
    </row>
    <row r="115" spans="1:40" ht="30" customHeight="1">
      <c r="AN115" s="25"/>
    </row>
    <row r="116" spans="1:40" ht="30" customHeight="1">
      <c r="AN116" s="25"/>
    </row>
    <row r="117" spans="1:40" ht="30" customHeight="1">
      <c r="AN117" s="25"/>
    </row>
    <row r="118" spans="1:40" ht="30" customHeight="1">
      <c r="AN118" s="25"/>
    </row>
    <row r="119" spans="1:40" ht="30" customHeight="1">
      <c r="AN119" s="25"/>
    </row>
    <row r="120" spans="1:40" ht="30" customHeight="1">
      <c r="AN120" s="25"/>
    </row>
    <row r="121" spans="1:40" ht="30" customHeight="1">
      <c r="AN121" s="25"/>
    </row>
    <row r="122" spans="1:40" ht="30" customHeight="1">
      <c r="AN122" s="25"/>
    </row>
    <row r="123" spans="1:40" ht="30" customHeight="1">
      <c r="AN123" s="25"/>
    </row>
    <row r="124" spans="1:40" ht="30" customHeight="1">
      <c r="AN124" s="25"/>
    </row>
    <row r="125" spans="1:40" ht="30" customHeight="1">
      <c r="AN125" s="25"/>
    </row>
    <row r="126" spans="1:40" ht="30" customHeight="1">
      <c r="AN126" s="25"/>
    </row>
    <row r="127" spans="1:40" ht="30" customHeight="1">
      <c r="AN127" s="25"/>
    </row>
  </sheetData>
  <mergeCells count="15">
    <mergeCell ref="A3:A4"/>
    <mergeCell ref="P3:AL3"/>
    <mergeCell ref="AM3:AM4"/>
    <mergeCell ref="O3:O4"/>
    <mergeCell ref="B113:C113"/>
    <mergeCell ref="L3:L4"/>
    <mergeCell ref="M3:M4"/>
    <mergeCell ref="N3:N4"/>
    <mergeCell ref="O111:O112"/>
    <mergeCell ref="B3:B4"/>
    <mergeCell ref="C3:C4"/>
    <mergeCell ref="D3:D4"/>
    <mergeCell ref="E3:F3"/>
    <mergeCell ref="G3:H3"/>
    <mergeCell ref="K3:K4"/>
  </mergeCells>
  <phoneticPr fontId="2" type="noConversion"/>
  <printOptions horizontalCentered="1"/>
  <pageMargins left="0.19685039370078741" right="0.19685039370078741" top="0.78740157480314965" bottom="0.19685039370078741" header="0.31496062992125984" footer="0.31496062992125984"/>
  <pageSetup paperSize="9" scale="12" orientation="landscape" r:id="rId1"/>
  <headerFooter>
    <oddHeader>&amp;C&amp;"-,굵게"&amp;20긴급보수 및 비품성 작업 관리대장 (건축)</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26년</vt:lpstr>
      <vt:lpstr>25년</vt:lpstr>
      <vt:lpstr>24년</vt:lpstr>
      <vt:lpstr>'24년'!Print_Area</vt:lpstr>
      <vt:lpstr>'25년'!Print_Area</vt:lpstr>
      <vt:lpstr>'26년'!Print_Area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종근 이</dc:creator>
  <cp:lastModifiedBy>종근 이</cp:lastModifiedBy>
  <dcterms:created xsi:type="dcterms:W3CDTF">2026-09-13T22:27:22Z</dcterms:created>
  <dcterms:modified xsi:type="dcterms:W3CDTF">2026-09-14T00:15:29Z</dcterms:modified>
</cp:coreProperties>
</file>